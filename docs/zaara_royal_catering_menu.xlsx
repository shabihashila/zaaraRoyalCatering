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7F7CCB-CA52-4507-9841-0592FFCED1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Item Cost Detail" sheetId="2" r:id="rId2"/>
    <sheet name="Package Summary" sheetId="3" r:id="rId3"/>
    <sheet name="Sheet1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3" l="1"/>
  <c r="D28" i="3"/>
  <c r="E28" i="3" s="1"/>
  <c r="F28" i="3" s="1"/>
  <c r="D27" i="3"/>
  <c r="E27" i="3" s="1"/>
  <c r="F27" i="3" s="1"/>
  <c r="D26" i="3"/>
  <c r="E26" i="3" s="1"/>
  <c r="F26" i="3" s="1"/>
  <c r="D24" i="3"/>
  <c r="E24" i="3" s="1"/>
  <c r="F24" i="3" s="1"/>
  <c r="D23" i="3"/>
  <c r="E23" i="3" s="1"/>
  <c r="F23" i="3" s="1"/>
  <c r="D22" i="3"/>
  <c r="E22" i="3" s="1"/>
  <c r="F22" i="3" s="1"/>
  <c r="D21" i="3"/>
  <c r="E21" i="3" s="1"/>
  <c r="F21" i="3" s="1"/>
  <c r="D19" i="3"/>
  <c r="E19" i="3" s="1"/>
  <c r="F19" i="3" s="1"/>
  <c r="D18" i="3"/>
  <c r="E18" i="3" s="1"/>
  <c r="F18" i="3" s="1"/>
  <c r="D17" i="3"/>
  <c r="E17" i="3" s="1"/>
  <c r="F17" i="3" s="1"/>
  <c r="D15" i="3"/>
  <c r="E15" i="3" s="1"/>
  <c r="F15" i="3" s="1"/>
  <c r="D14" i="3"/>
  <c r="E14" i="3" s="1"/>
  <c r="F14" i="3" s="1"/>
  <c r="D13" i="3"/>
  <c r="E13" i="3" s="1"/>
  <c r="F13" i="3" s="1"/>
  <c r="D11" i="3"/>
  <c r="E11" i="3" s="1"/>
  <c r="F11" i="3" s="1"/>
  <c r="D10" i="3"/>
  <c r="E10" i="3" s="1"/>
  <c r="F10" i="3" s="1"/>
  <c r="D9" i="3"/>
  <c r="E9" i="3" s="1"/>
  <c r="F9" i="3" s="1"/>
  <c r="D7" i="3"/>
  <c r="E7" i="3" s="1"/>
  <c r="F7" i="3" s="1"/>
  <c r="D6" i="3"/>
  <c r="E6" i="3" s="1"/>
  <c r="F6" i="3" s="1"/>
  <c r="D5" i="3"/>
  <c r="D30" i="3" l="1"/>
  <c r="E5" i="3"/>
  <c r="E30" i="3" l="1"/>
  <c r="F5" i="3"/>
  <c r="F30" i="3" s="1"/>
</calcChain>
</file>

<file path=xl/sharedStrings.xml><?xml version="1.0" encoding="utf-8"?>
<sst xmlns="http://schemas.openxmlformats.org/spreadsheetml/2006/main" count="648" uniqueCount="197">
  <si>
    <t>Zaara Royal Catering</t>
  </si>
  <si>
    <t>Menu, Item-wise Cost Breakdown &amp; Profit Sheet</t>
  </si>
  <si>
    <t>Breakfast</t>
  </si>
  <si>
    <t>Lunch</t>
  </si>
  <si>
    <t>Dinner</t>
  </si>
  <si>
    <t>Milad &amp; Doa Mahfil</t>
  </si>
  <si>
    <t>Corporate Program</t>
  </si>
  <si>
    <t>House Party</t>
  </si>
  <si>
    <t>Classic Breakfast</t>
  </si>
  <si>
    <t>Premium Breakfast</t>
  </si>
  <si>
    <t>Royal Breakfast</t>
  </si>
  <si>
    <t>Standard</t>
  </si>
  <si>
    <t>Premium</t>
  </si>
  <si>
    <t>Royal Kacchi</t>
  </si>
  <si>
    <t>Royal Dinner</t>
  </si>
  <si>
    <t>Tabarak Package</t>
  </si>
  <si>
    <t>Standard Doa Mahfil</t>
  </si>
  <si>
    <t>Full Meal Package</t>
  </si>
  <si>
    <t>Snacks / Tea Break</t>
  </si>
  <si>
    <t>Box Lunch</t>
  </si>
  <si>
    <t>Standard Buffet</t>
  </si>
  <si>
    <t>Executive Buffet</t>
  </si>
  <si>
    <t>Snacks Party</t>
  </si>
  <si>
    <t>Full Dinner Party</t>
  </si>
  <si>
    <t>BBQ Night</t>
  </si>
  <si>
    <t>Paratha (2 pcs) 20 + Vegetable Bhaji 10 + Scrambled Egg 10 + Chola Dal 10 + Sweet 10 + Black Tea 10 = 70</t>
  </si>
  <si>
    <t>Luchi/Paratha 25 + Aloo Dum 15 + Egg Curry 15 + Boot Dal 10 + Semolina Halwa 15 + Seasonal Fruit 10 + Doi-Chira (Yogurt &amp; Flattened Rice) 10 + Tea/Coffee 5 = 105</t>
  </si>
  <si>
    <t>Bhuna Khichuri 30 + Beef Bhuna 50 + Egg Curry 15 + Fried Eggplant 10 + Borhani 15 + Salad 5 + Jilapi/Sweet 15 + Tea/Coffee 5 = 145</t>
  </si>
  <si>
    <t>White Rice 20 + Chicken Curry 75 + Masoor Dal 15 + Mixed Vegetables 15 + Aloo Bhorta (Mashed Potato) 10 + Salad 5 + Pickle 5 = 145</t>
  </si>
  <si>
    <t>Rice/Polao 25 + Chicken Roast 50 + Beef Bhuna 60 + Fried Rui Fish 35 + Dal 10 + Vegetables 10 + Salad 5 + Sweet Yogurt 5 + Paan-Supari 5 = 205</t>
  </si>
  <si>
    <t>Kacchi Biryani 205 + Borhani 25 + Salad 10 + Egg 15 + Fried Eggplant 10 + Shahi Zarda 20 + Sweet 10 + Paan-Supari 5 = 300</t>
  </si>
  <si>
    <t>Polao 25 + Chicken Rezala 90 + Dal 15 + Vegetables 15 + Salad 5 + Pickle 5 + Sweet 10 = 165</t>
  </si>
  <si>
    <t>Polao 30 + Chicken Roast 55 + Beef Rezala 70 + Hilsa/Rui Fish 35 + Dal 10 + Vegetables 10 + Salad 5 + Borhani 15 + Firni 5 = 235</t>
  </si>
  <si>
    <t>Morog Polao/Kacchi 75 + Beef Kala Bhuna 75 + Mutton Rezala 85 + Fried Fish 35 + Dal 10 + Borhani 15 + Salad 5 + Shahi Tukra 15 + Fruit Platter 5 = 320</t>
  </si>
  <si>
    <t>Sweet Polao/Zarda 25 + Beef 45 + Chickpeas 5 + Dates 5 + Water 5 = 85</t>
  </si>
  <si>
    <t>Rice/Polao 20 + Chicken Curry 70 + Dal 10 + Vegetables 10 + Salad 5 + Pickle 5 + Sweet 5 + Water 5 = 130</t>
  </si>
  <si>
    <t>Polao 25 + Chicken Roast 55 + Beef Bhuna 60 + Dal 10 + Vegetables 10 + Salad 5 + Egg 10 + Zarda 5 + Sweet 5 + Water 5 = 190</t>
  </si>
  <si>
    <t>Samosa 10 + Singara 10 + Chicken Pakora 15 + Biscuits 5 + Tea/Coffee 3 + Water 2 = 45</t>
  </si>
  <si>
    <t>Polao/Rice 20 + Chicken Curry 80 + Dal 10 + Vegetables 10 + Salad 5 + Mineral Water 5 = 130</t>
  </si>
  <si>
    <t>Rice &amp; Polao 25 + 2 Chicken/Beef Dishes 110 + Fish 30 + Dal 10 + Vegetables 10 + Salad Bar 10 + Dessert 15 + Soft Drink 10 = 220</t>
  </si>
  <si>
    <t>Kacchi/Biryani 90 + Roast 70 + Kebab Station 60 + Fish 35 + Salad Bar 15 + Soup 15 + Dessert 15 + Beverages 15 + Tea/Coffee Corner 5 = 320</t>
  </si>
  <si>
    <t>Chicken Fry 35 + Shawarma/Roll 30 + Fuchka/Chotpoti 15 + French Fries 15 + Spring Roll 15 + Soft Drink 5 = 115</t>
  </si>
  <si>
    <t>Polao 30 + Chicken Roast 60 + Beef Bhuna 75 + Fish Fry 40 + Dal 10 + Vegetables 10 + Salad 5 + Borhani 10 + Dessert 5 = 245</t>
  </si>
  <si>
    <t>Chicken/Beef BBQ 180 + Grilled Kebab 110 + Naan 25 + Salad Bar 20 + Dip Sauce 10 + Soft Drink 25 + Dessert 10 = 380</t>
  </si>
  <si>
    <t>Package</t>
  </si>
  <si>
    <t>Item-wise Cost Breakdown</t>
  </si>
  <si>
    <t>Sale Price</t>
  </si>
  <si>
    <t>Cost</t>
  </si>
  <si>
    <t>Profit</t>
  </si>
  <si>
    <t>Margin</t>
  </si>
  <si>
    <t>৳120</t>
  </si>
  <si>
    <t>৳70</t>
  </si>
  <si>
    <t>৳50</t>
  </si>
  <si>
    <t>৳180</t>
  </si>
  <si>
    <t>৳105</t>
  </si>
  <si>
    <t>৳75</t>
  </si>
  <si>
    <t>৳250</t>
  </si>
  <si>
    <t>৳145</t>
  </si>
  <si>
    <t>৳350</t>
  </si>
  <si>
    <t>৳205</t>
  </si>
  <si>
    <t>৳500</t>
  </si>
  <si>
    <t>৳300</t>
  </si>
  <si>
    <t>৳200</t>
  </si>
  <si>
    <t>৳280</t>
  </si>
  <si>
    <t>৳165</t>
  </si>
  <si>
    <t>৳115</t>
  </si>
  <si>
    <t>৳400</t>
  </si>
  <si>
    <t>৳235</t>
  </si>
  <si>
    <t>৳550</t>
  </si>
  <si>
    <t>৳320</t>
  </si>
  <si>
    <t>৳230</t>
  </si>
  <si>
    <t>৳150</t>
  </si>
  <si>
    <t>৳85</t>
  </si>
  <si>
    <t>৳65</t>
  </si>
  <si>
    <t>৳220</t>
  </si>
  <si>
    <t>৳130</t>
  </si>
  <si>
    <t>৳90</t>
  </si>
  <si>
    <t>৳190</t>
  </si>
  <si>
    <t>৳80</t>
  </si>
  <si>
    <t>৳45</t>
  </si>
  <si>
    <t>৳35</t>
  </si>
  <si>
    <t>৳380</t>
  </si>
  <si>
    <t>৳160</t>
  </si>
  <si>
    <t>৳420</t>
  </si>
  <si>
    <t>৳245</t>
  </si>
  <si>
    <t>৳175</t>
  </si>
  <si>
    <t>৳650</t>
  </si>
  <si>
    <t>৳270</t>
  </si>
  <si>
    <t>Paratha (2 pcs)</t>
  </si>
  <si>
    <t>Vegetable Bhaji</t>
  </si>
  <si>
    <t>Scrambled Egg</t>
  </si>
  <si>
    <t>Chola Dal</t>
  </si>
  <si>
    <t>Sweet</t>
  </si>
  <si>
    <t>Black Tea</t>
  </si>
  <si>
    <t>Luchi or Paratha</t>
  </si>
  <si>
    <t>Aloo Dum</t>
  </si>
  <si>
    <t>Egg Curry</t>
  </si>
  <si>
    <t>Boot Dal</t>
  </si>
  <si>
    <t>Semolina Halwa</t>
  </si>
  <si>
    <t>Seasonal Fruit</t>
  </si>
  <si>
    <t>Doi-Chira (Yogurt &amp; Flattened Rice)</t>
  </si>
  <si>
    <t>Tea / Coffee</t>
  </si>
  <si>
    <t>Bhuna Khichuri</t>
  </si>
  <si>
    <t>Beef Bhuna</t>
  </si>
  <si>
    <t>Fried Eggplant</t>
  </si>
  <si>
    <t>Borhani</t>
  </si>
  <si>
    <t>Salad</t>
  </si>
  <si>
    <t>Jilapi / Sweet</t>
  </si>
  <si>
    <t>White Rice</t>
  </si>
  <si>
    <t>Chicken Curry</t>
  </si>
  <si>
    <t>Masoor Dal</t>
  </si>
  <si>
    <t>Mixed Vegetables</t>
  </si>
  <si>
    <t>Aloo Bhorta (Mashed Potato)</t>
  </si>
  <si>
    <t>Pickle</t>
  </si>
  <si>
    <t>Rice / Polao</t>
  </si>
  <si>
    <t>Chicken Roast</t>
  </si>
  <si>
    <t>Fried Rui Fish</t>
  </si>
  <si>
    <t>Dal</t>
  </si>
  <si>
    <t>Vegetables</t>
  </si>
  <si>
    <t>Sweet Yogurt</t>
  </si>
  <si>
    <t>Paan-Supari</t>
  </si>
  <si>
    <t>Kacchi Biryani (Mutton/Chicken)</t>
  </si>
  <si>
    <t>Egg</t>
  </si>
  <si>
    <t>Shahi Zarda</t>
  </si>
  <si>
    <t>Polao</t>
  </si>
  <si>
    <t>Chicken Rezala</t>
  </si>
  <si>
    <t>Beef Rezala</t>
  </si>
  <si>
    <t>Hilsa / Rui Fish</t>
  </si>
  <si>
    <t>Firni</t>
  </si>
  <si>
    <t>Morog Polao / Kacchi</t>
  </si>
  <si>
    <t>Beef Kala Bhuna</t>
  </si>
  <si>
    <t>Mutton Rezala</t>
  </si>
  <si>
    <t>Fried Fish</t>
  </si>
  <si>
    <t>Shahi Tukra</t>
  </si>
  <si>
    <t>Fruit Platter</t>
  </si>
  <si>
    <t>Sweet Polao / Zarda</t>
  </si>
  <si>
    <t>Beef</t>
  </si>
  <si>
    <t>Chickpeas</t>
  </si>
  <si>
    <t>Dates</t>
  </si>
  <si>
    <t>Water</t>
  </si>
  <si>
    <t>Zarda</t>
  </si>
  <si>
    <t>Snacks / Tea Break Package</t>
  </si>
  <si>
    <t>Samosa</t>
  </si>
  <si>
    <t>Singara</t>
  </si>
  <si>
    <t>Chicken Pakora</t>
  </si>
  <si>
    <t>Biscuits</t>
  </si>
  <si>
    <t>Polao / Rice</t>
  </si>
  <si>
    <t>Mineral Water</t>
  </si>
  <si>
    <t>Rice &amp; Polao</t>
  </si>
  <si>
    <t>2 Chicken &amp; Beef Dishes</t>
  </si>
  <si>
    <t>Fish</t>
  </si>
  <si>
    <t>Salad Bar</t>
  </si>
  <si>
    <t>Dessert</t>
  </si>
  <si>
    <t>Soft Drink</t>
  </si>
  <si>
    <t>Kacchi / Biryani</t>
  </si>
  <si>
    <t>Roast</t>
  </si>
  <si>
    <t>Kebab Station</t>
  </si>
  <si>
    <t>Soup</t>
  </si>
  <si>
    <t>Beverages</t>
  </si>
  <si>
    <t>Tea/Coffee Corner</t>
  </si>
  <si>
    <t>Chicken Fry</t>
  </si>
  <si>
    <t>Shawarma / Roll</t>
  </si>
  <si>
    <t>Fuchka / Chotpoti</t>
  </si>
  <si>
    <t>French Fries</t>
  </si>
  <si>
    <t>Spring Roll</t>
  </si>
  <si>
    <t>Fish Fry</t>
  </si>
  <si>
    <t>Chicken / Beef BBQ</t>
  </si>
  <si>
    <t>Grilled Kebab</t>
  </si>
  <si>
    <t>Naan</t>
  </si>
  <si>
    <t>Dip Sauce</t>
  </si>
  <si>
    <t>Zaara Royal Catering — Menu &amp; Costing Sheet</t>
  </si>
  <si>
    <t>What's in this workbook:</t>
  </si>
  <si>
    <t>1) Item Cost Detail — the individual cost (৳) of every item in each package is listed here.</t>
  </si>
  <si>
    <t>2) Package Summary — each package's sale price, total cost (added up automatically by formula), profit and profit margin (%).</t>
  </si>
  <si>
    <t>3) Yellow cells (on the Item Cost Detail sheet) are editable — enter actual market prices there and the Package Summary sheet will update automatically.</t>
  </si>
  <si>
    <t>4) All prices are in Bangladeshi Taka (৳) and are per head.</t>
  </si>
  <si>
    <t>Contact: Phone — 01XXX-XXXXXX   |   Address — enter your area name</t>
  </si>
  <si>
    <t>Zaara Royal Catering — Item Cost Detail</t>
  </si>
  <si>
    <t>Category</t>
  </si>
  <si>
    <t>Item</t>
  </si>
  <si>
    <t>Item Cost (৳)</t>
  </si>
  <si>
    <t>Yellow cells = editable item costs. Changes here update the Package Summary sheet automatically.</t>
  </si>
  <si>
    <t>Zaara Royal Catering — Package Summary</t>
  </si>
  <si>
    <t>Sale Price ৳</t>
  </si>
  <si>
    <t>Total Cost ৳ (Formula)</t>
  </si>
  <si>
    <t>Profit ৳</t>
  </si>
  <si>
    <t>Profit Margin %</t>
  </si>
  <si>
    <t>Notes</t>
  </si>
  <si>
    <t>Mutton Kacchi carries an extra ৳80/head</t>
  </si>
  <si>
    <t>Includes packaging &amp; distribution support</t>
  </si>
  <si>
    <t>Ideal for morning or afternoon meeting breaks</t>
  </si>
  <si>
    <t>Minimum 40 guests</t>
  </si>
  <si>
    <t>Includes waiter service &amp; cutlery</t>
  </si>
  <si>
    <t>Outdoor setup &amp; live chef service available (extra charges apply)</t>
  </si>
  <si>
    <t>Overall Average — All Packages</t>
  </si>
  <si>
    <t>Average sale price / cost / profit / profit margin</t>
  </si>
  <si>
    <t>Blue numbers = user-entered sale prices (editable). Black numbers = calculated automatically by formula — do not edit.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</si>
</sst>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.00%"/>
  </numFmts>
  <fonts count="13" x14ac:knownFonts="1">
    <font>
      <sz val="11"/>
      <color theme="1"/>
      <name val="Calibri"/>
      <family val="2"/>
      <charset val="1"/>
    </font>
    <font>
      <b/>
      <sz val="20"/>
      <color rgb="FF6E1E2B"/>
      <name val="Arial"/>
      <charset val="1"/>
    </font>
    <font>
      <b/>
      <sz val="14"/>
      <color rgb="FF2B1B14"/>
      <name val="Arial"/>
      <charset val="1"/>
    </font>
    <font>
      <i/>
      <sz val="12"/>
      <color rgb="FF5A473D"/>
      <name val="Arial"/>
      <charset val="1"/>
    </font>
    <font>
      <b/>
      <sz val="10.5"/>
      <name val="Arial"/>
      <charset val="1"/>
    </font>
    <font>
      <sz val="10.5"/>
      <name val="Arial"/>
      <charset val="1"/>
    </font>
    <font>
      <i/>
      <sz val="9.5"/>
      <color rgb="FF5A473D"/>
      <name val="Arial"/>
      <charset val="1"/>
    </font>
    <font>
      <b/>
      <sz val="14"/>
      <color rgb="FF6E1E2B"/>
      <name val="Arial"/>
      <charset val="1"/>
    </font>
    <font>
      <b/>
      <sz val="11"/>
      <color rgb="FFFFFFFF"/>
      <name val="Arial"/>
      <charset val="1"/>
    </font>
    <font>
      <sz val="10.5"/>
      <color rgb="FF0000FF"/>
      <name val="Arial"/>
      <charset val="1"/>
    </font>
    <font>
      <b/>
      <sz val="13.5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trike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E1E2B"/>
        <bgColor rgb="FF800000"/>
      </patternFill>
    </fill>
    <fill>
      <patternFill patternType="solid">
        <fgColor rgb="FFFFF7CC"/>
        <bgColor rgb="FFFFFFFF"/>
      </patternFill>
    </fill>
    <fill>
      <patternFill patternType="solid">
        <fgColor rgb="FFB8892B"/>
        <bgColor rgb="FF969696"/>
      </patternFill>
    </fill>
  </fills>
  <borders count="2">
    <border>
      <left/>
      <right/>
      <top/>
      <bottom/>
      <diagonal/>
    </border>
    <border>
      <left style="thin">
        <color rgb="FFD9C79E"/>
      </left>
      <right style="thin">
        <color rgb="FFD9C79E"/>
      </right>
      <top style="thin">
        <color rgb="FFD9C79E"/>
      </top>
      <bottom style="thin">
        <color rgb="FFD9C79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3" fontId="4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7" fillId="0" borderId="0" xfId="0" applyFont="1"/>
    <xf numFmtId="0" fontId="6" fillId="0" borderId="0" xfId="0" applyFont="1"/>
    <xf numFmtId="0" fontId="8" fillId="4" borderId="0" xfId="0" applyFont="1" applyFill="1" applyAlignment="1">
      <alignment horizontal="left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E2B"/>
      <rgbColor rgb="FF008000"/>
      <rgbColor rgb="FF000080"/>
      <rgbColor rgb="FFB8892B"/>
      <rgbColor rgb="FF800080"/>
      <rgbColor rgb="FF008080"/>
      <rgbColor rgb="FFD9C79E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B1B14"/>
      <rgbColor rgb="FF993300"/>
      <rgbColor rgb="FF993366"/>
      <rgbColor rgb="FF333399"/>
      <rgbColor rgb="FF5A47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FB0FB1-2BE5-49EF-BB2B-FEF75ADBB9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c6fd6f-7a31-48fc-abe7-428b901adf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showGridLines="0" tabSelected="1" zoomScaleNormal="100" workbookViewId="0"/>
  </sheetViews>
  <sheetFormatPr defaultColWidth="8.6640625" defaultRowHeight="14.4" x14ac:dyDescent="0.3"/>
  <cols>
    <col min="1" max="1" width="90" customWidth="1"/>
  </cols>
  <sheetData>
    <row r="1" spans="1:1" x14ac:dyDescent="0.3">
      <c r="A1" s="25"/>
    </row>
    <row r="2" spans="1:1" ht="24.6" x14ac:dyDescent="0.4">
      <c r="A2" s="2" t="s">
        <v>0</v>
      </c>
    </row>
    <row r="3" spans="1:1" ht="17.399999999999999" x14ac:dyDescent="0.3">
      <c r="A3" s="3" t="s">
        <v>170</v>
      </c>
    </row>
    <row r="4" spans="1:1" ht="15.6" x14ac:dyDescent="0.3">
      <c r="A4" s="4" t="s">
        <v>1</v>
      </c>
    </row>
    <row r="6" spans="1:1" x14ac:dyDescent="0.3">
      <c r="A6" s="5" t="s">
        <v>171</v>
      </c>
    </row>
    <row r="7" spans="1:1" ht="19.5" customHeight="1" x14ac:dyDescent="0.3">
      <c r="A7" s="6" t="s">
        <v>172</v>
      </c>
    </row>
    <row r="8" spans="1:1" ht="19.5" customHeight="1" x14ac:dyDescent="0.3">
      <c r="A8" s="6" t="s">
        <v>173</v>
      </c>
    </row>
    <row r="9" spans="1:1" ht="19.5" customHeight="1" x14ac:dyDescent="0.3">
      <c r="A9" s="6" t="s">
        <v>174</v>
      </c>
    </row>
    <row r="10" spans="1:1" ht="19.5" customHeight="1" x14ac:dyDescent="0.3">
      <c r="A10" s="6" t="s">
        <v>175</v>
      </c>
    </row>
    <row r="12" spans="1:1" x14ac:dyDescent="0.3">
      <c r="A12" s="1" t="s">
        <v>176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6640625" defaultRowHeight="14.4" x14ac:dyDescent="0.3"/>
  <cols>
    <col min="1" max="1" width="24" customWidth="1"/>
    <col min="2" max="2" width="26" customWidth="1"/>
    <col min="3" max="3" width="34" customWidth="1"/>
    <col min="4" max="4" width="20" customWidth="1"/>
  </cols>
  <sheetData>
    <row r="1" spans="1:4" ht="17.399999999999999" x14ac:dyDescent="0.3">
      <c r="A1" s="22" t="s">
        <v>177</v>
      </c>
      <c r="B1" s="22"/>
      <c r="C1" s="22"/>
      <c r="D1" s="22"/>
    </row>
    <row r="3" spans="1:4" x14ac:dyDescent="0.3">
      <c r="A3" s="7" t="s">
        <v>178</v>
      </c>
      <c r="B3" s="7" t="s">
        <v>44</v>
      </c>
      <c r="C3" s="7" t="s">
        <v>179</v>
      </c>
      <c r="D3" s="7" t="s">
        <v>180</v>
      </c>
    </row>
    <row r="4" spans="1:4" x14ac:dyDescent="0.3">
      <c r="A4" s="8" t="s">
        <v>2</v>
      </c>
      <c r="B4" s="8" t="s">
        <v>8</v>
      </c>
      <c r="C4" s="8" t="s">
        <v>88</v>
      </c>
      <c r="D4" s="9">
        <v>20</v>
      </c>
    </row>
    <row r="5" spans="1:4" x14ac:dyDescent="0.3">
      <c r="A5" s="8" t="s">
        <v>2</v>
      </c>
      <c r="B5" s="8" t="s">
        <v>8</v>
      </c>
      <c r="C5" s="8" t="s">
        <v>89</v>
      </c>
      <c r="D5" s="9">
        <v>10</v>
      </c>
    </row>
    <row r="6" spans="1:4" x14ac:dyDescent="0.3">
      <c r="A6" s="8" t="s">
        <v>2</v>
      </c>
      <c r="B6" s="8" t="s">
        <v>8</v>
      </c>
      <c r="C6" s="8" t="s">
        <v>90</v>
      </c>
      <c r="D6" s="9">
        <v>10</v>
      </c>
    </row>
    <row r="7" spans="1:4" x14ac:dyDescent="0.3">
      <c r="A7" s="8" t="s">
        <v>2</v>
      </c>
      <c r="B7" s="8" t="s">
        <v>8</v>
      </c>
      <c r="C7" s="8" t="s">
        <v>91</v>
      </c>
      <c r="D7" s="9">
        <v>10</v>
      </c>
    </row>
    <row r="8" spans="1:4" x14ac:dyDescent="0.3">
      <c r="A8" s="8" t="s">
        <v>2</v>
      </c>
      <c r="B8" s="8" t="s">
        <v>8</v>
      </c>
      <c r="C8" s="8" t="s">
        <v>92</v>
      </c>
      <c r="D8" s="9">
        <v>10</v>
      </c>
    </row>
    <row r="9" spans="1:4" x14ac:dyDescent="0.3">
      <c r="A9" s="8" t="s">
        <v>2</v>
      </c>
      <c r="B9" s="8" t="s">
        <v>8</v>
      </c>
      <c r="C9" s="8" t="s">
        <v>93</v>
      </c>
      <c r="D9" s="9">
        <v>10</v>
      </c>
    </row>
    <row r="10" spans="1:4" x14ac:dyDescent="0.3">
      <c r="A10" s="8" t="s">
        <v>2</v>
      </c>
      <c r="B10" s="8" t="s">
        <v>9</v>
      </c>
      <c r="C10" s="8" t="s">
        <v>94</v>
      </c>
      <c r="D10" s="9">
        <v>25</v>
      </c>
    </row>
    <row r="11" spans="1:4" x14ac:dyDescent="0.3">
      <c r="A11" s="8" t="s">
        <v>2</v>
      </c>
      <c r="B11" s="8" t="s">
        <v>9</v>
      </c>
      <c r="C11" s="8" t="s">
        <v>95</v>
      </c>
      <c r="D11" s="9">
        <v>15</v>
      </c>
    </row>
    <row r="12" spans="1:4" x14ac:dyDescent="0.3">
      <c r="A12" s="8" t="s">
        <v>2</v>
      </c>
      <c r="B12" s="8" t="s">
        <v>9</v>
      </c>
      <c r="C12" s="8" t="s">
        <v>96</v>
      </c>
      <c r="D12" s="9">
        <v>15</v>
      </c>
    </row>
    <row r="13" spans="1:4" x14ac:dyDescent="0.3">
      <c r="A13" s="8" t="s">
        <v>2</v>
      </c>
      <c r="B13" s="8" t="s">
        <v>9</v>
      </c>
      <c r="C13" s="8" t="s">
        <v>97</v>
      </c>
      <c r="D13" s="9">
        <v>10</v>
      </c>
    </row>
    <row r="14" spans="1:4" x14ac:dyDescent="0.3">
      <c r="A14" s="8" t="s">
        <v>2</v>
      </c>
      <c r="B14" s="8" t="s">
        <v>9</v>
      </c>
      <c r="C14" s="8" t="s">
        <v>98</v>
      </c>
      <c r="D14" s="9">
        <v>15</v>
      </c>
    </row>
    <row r="15" spans="1:4" x14ac:dyDescent="0.3">
      <c r="A15" s="8" t="s">
        <v>2</v>
      </c>
      <c r="B15" s="8" t="s">
        <v>9</v>
      </c>
      <c r="C15" s="8" t="s">
        <v>99</v>
      </c>
      <c r="D15" s="9">
        <v>10</v>
      </c>
    </row>
    <row r="16" spans="1:4" x14ac:dyDescent="0.3">
      <c r="A16" s="8" t="s">
        <v>2</v>
      </c>
      <c r="B16" s="8" t="s">
        <v>9</v>
      </c>
      <c r="C16" s="8" t="s">
        <v>100</v>
      </c>
      <c r="D16" s="9">
        <v>10</v>
      </c>
    </row>
    <row r="17" spans="1:4" x14ac:dyDescent="0.3">
      <c r="A17" s="8" t="s">
        <v>2</v>
      </c>
      <c r="B17" s="8" t="s">
        <v>9</v>
      </c>
      <c r="C17" s="8" t="s">
        <v>101</v>
      </c>
      <c r="D17" s="9">
        <v>5</v>
      </c>
    </row>
    <row r="18" spans="1:4" x14ac:dyDescent="0.3">
      <c r="A18" s="8" t="s">
        <v>2</v>
      </c>
      <c r="B18" s="8" t="s">
        <v>10</v>
      </c>
      <c r="C18" s="8" t="s">
        <v>102</v>
      </c>
      <c r="D18" s="9">
        <v>30</v>
      </c>
    </row>
    <row r="19" spans="1:4" x14ac:dyDescent="0.3">
      <c r="A19" s="8" t="s">
        <v>2</v>
      </c>
      <c r="B19" s="8" t="s">
        <v>10</v>
      </c>
      <c r="C19" s="8" t="s">
        <v>103</v>
      </c>
      <c r="D19" s="9">
        <v>50</v>
      </c>
    </row>
    <row r="20" spans="1:4" x14ac:dyDescent="0.3">
      <c r="A20" s="8" t="s">
        <v>2</v>
      </c>
      <c r="B20" s="8" t="s">
        <v>10</v>
      </c>
      <c r="C20" s="8" t="s">
        <v>96</v>
      </c>
      <c r="D20" s="9">
        <v>15</v>
      </c>
    </row>
    <row r="21" spans="1:4" x14ac:dyDescent="0.3">
      <c r="A21" s="8" t="s">
        <v>2</v>
      </c>
      <c r="B21" s="8" t="s">
        <v>10</v>
      </c>
      <c r="C21" s="8" t="s">
        <v>104</v>
      </c>
      <c r="D21" s="9">
        <v>10</v>
      </c>
    </row>
    <row r="22" spans="1:4" x14ac:dyDescent="0.3">
      <c r="A22" s="8" t="s">
        <v>2</v>
      </c>
      <c r="B22" s="8" t="s">
        <v>10</v>
      </c>
      <c r="C22" s="8" t="s">
        <v>105</v>
      </c>
      <c r="D22" s="9">
        <v>15</v>
      </c>
    </row>
    <row r="23" spans="1:4" x14ac:dyDescent="0.3">
      <c r="A23" s="8" t="s">
        <v>2</v>
      </c>
      <c r="B23" s="8" t="s">
        <v>10</v>
      </c>
      <c r="C23" s="8" t="s">
        <v>106</v>
      </c>
      <c r="D23" s="9">
        <v>5</v>
      </c>
    </row>
    <row r="24" spans="1:4" x14ac:dyDescent="0.3">
      <c r="A24" s="8" t="s">
        <v>2</v>
      </c>
      <c r="B24" s="8" t="s">
        <v>10</v>
      </c>
      <c r="C24" s="8" t="s">
        <v>107</v>
      </c>
      <c r="D24" s="9">
        <v>15</v>
      </c>
    </row>
    <row r="25" spans="1:4" x14ac:dyDescent="0.3">
      <c r="A25" s="8" t="s">
        <v>2</v>
      </c>
      <c r="B25" s="8" t="s">
        <v>10</v>
      </c>
      <c r="C25" s="8" t="s">
        <v>101</v>
      </c>
      <c r="D25" s="9">
        <v>5</v>
      </c>
    </row>
    <row r="26" spans="1:4" x14ac:dyDescent="0.3">
      <c r="A26" s="8" t="s">
        <v>3</v>
      </c>
      <c r="B26" s="8" t="s">
        <v>11</v>
      </c>
      <c r="C26" s="8" t="s">
        <v>108</v>
      </c>
      <c r="D26" s="9">
        <v>20</v>
      </c>
    </row>
    <row r="27" spans="1:4" x14ac:dyDescent="0.3">
      <c r="A27" s="8" t="s">
        <v>3</v>
      </c>
      <c r="B27" s="8" t="s">
        <v>11</v>
      </c>
      <c r="C27" s="8" t="s">
        <v>109</v>
      </c>
      <c r="D27" s="9">
        <v>75</v>
      </c>
    </row>
    <row r="28" spans="1:4" x14ac:dyDescent="0.3">
      <c r="A28" s="8" t="s">
        <v>3</v>
      </c>
      <c r="B28" s="8" t="s">
        <v>11</v>
      </c>
      <c r="C28" s="8" t="s">
        <v>110</v>
      </c>
      <c r="D28" s="9">
        <v>15</v>
      </c>
    </row>
    <row r="29" spans="1:4" x14ac:dyDescent="0.3">
      <c r="A29" s="8" t="s">
        <v>3</v>
      </c>
      <c r="B29" s="8" t="s">
        <v>11</v>
      </c>
      <c r="C29" s="8" t="s">
        <v>111</v>
      </c>
      <c r="D29" s="9">
        <v>15</v>
      </c>
    </row>
    <row r="30" spans="1:4" x14ac:dyDescent="0.3">
      <c r="A30" s="8" t="s">
        <v>3</v>
      </c>
      <c r="B30" s="8" t="s">
        <v>11</v>
      </c>
      <c r="C30" s="8" t="s">
        <v>112</v>
      </c>
      <c r="D30" s="9">
        <v>10</v>
      </c>
    </row>
    <row r="31" spans="1:4" x14ac:dyDescent="0.3">
      <c r="A31" s="8" t="s">
        <v>3</v>
      </c>
      <c r="B31" s="8" t="s">
        <v>11</v>
      </c>
      <c r="C31" s="8" t="s">
        <v>106</v>
      </c>
      <c r="D31" s="9">
        <v>5</v>
      </c>
    </row>
    <row r="32" spans="1:4" x14ac:dyDescent="0.3">
      <c r="A32" s="8" t="s">
        <v>3</v>
      </c>
      <c r="B32" s="8" t="s">
        <v>11</v>
      </c>
      <c r="C32" s="8" t="s">
        <v>113</v>
      </c>
      <c r="D32" s="9">
        <v>5</v>
      </c>
    </row>
    <row r="33" spans="1:4" x14ac:dyDescent="0.3">
      <c r="A33" s="8" t="s">
        <v>3</v>
      </c>
      <c r="B33" s="8" t="s">
        <v>12</v>
      </c>
      <c r="C33" s="8" t="s">
        <v>114</v>
      </c>
      <c r="D33" s="9">
        <v>25</v>
      </c>
    </row>
    <row r="34" spans="1:4" x14ac:dyDescent="0.3">
      <c r="A34" s="8" t="s">
        <v>3</v>
      </c>
      <c r="B34" s="8" t="s">
        <v>12</v>
      </c>
      <c r="C34" s="8" t="s">
        <v>115</v>
      </c>
      <c r="D34" s="9">
        <v>50</v>
      </c>
    </row>
    <row r="35" spans="1:4" x14ac:dyDescent="0.3">
      <c r="A35" s="8" t="s">
        <v>3</v>
      </c>
      <c r="B35" s="8" t="s">
        <v>12</v>
      </c>
      <c r="C35" s="8" t="s">
        <v>103</v>
      </c>
      <c r="D35" s="9">
        <v>60</v>
      </c>
    </row>
    <row r="36" spans="1:4" x14ac:dyDescent="0.3">
      <c r="A36" s="8" t="s">
        <v>3</v>
      </c>
      <c r="B36" s="8" t="s">
        <v>12</v>
      </c>
      <c r="C36" s="8" t="s">
        <v>116</v>
      </c>
      <c r="D36" s="9">
        <v>35</v>
      </c>
    </row>
    <row r="37" spans="1:4" x14ac:dyDescent="0.3">
      <c r="A37" s="8" t="s">
        <v>3</v>
      </c>
      <c r="B37" s="8" t="s">
        <v>12</v>
      </c>
      <c r="C37" s="8" t="s">
        <v>117</v>
      </c>
      <c r="D37" s="9">
        <v>10</v>
      </c>
    </row>
    <row r="38" spans="1:4" x14ac:dyDescent="0.3">
      <c r="A38" s="8" t="s">
        <v>3</v>
      </c>
      <c r="B38" s="8" t="s">
        <v>12</v>
      </c>
      <c r="C38" s="8" t="s">
        <v>118</v>
      </c>
      <c r="D38" s="9">
        <v>10</v>
      </c>
    </row>
    <row r="39" spans="1:4" x14ac:dyDescent="0.3">
      <c r="A39" s="8" t="s">
        <v>3</v>
      </c>
      <c r="B39" s="8" t="s">
        <v>12</v>
      </c>
      <c r="C39" s="8" t="s">
        <v>106</v>
      </c>
      <c r="D39" s="9">
        <v>5</v>
      </c>
    </row>
    <row r="40" spans="1:4" x14ac:dyDescent="0.3">
      <c r="A40" s="8" t="s">
        <v>3</v>
      </c>
      <c r="B40" s="8" t="s">
        <v>12</v>
      </c>
      <c r="C40" s="8" t="s">
        <v>119</v>
      </c>
      <c r="D40" s="9">
        <v>5</v>
      </c>
    </row>
    <row r="41" spans="1:4" x14ac:dyDescent="0.3">
      <c r="A41" s="8" t="s">
        <v>3</v>
      </c>
      <c r="B41" s="8" t="s">
        <v>12</v>
      </c>
      <c r="C41" s="8" t="s">
        <v>120</v>
      </c>
      <c r="D41" s="9">
        <v>5</v>
      </c>
    </row>
    <row r="42" spans="1:4" x14ac:dyDescent="0.3">
      <c r="A42" s="8" t="s">
        <v>3</v>
      </c>
      <c r="B42" s="8" t="s">
        <v>13</v>
      </c>
      <c r="C42" s="8" t="s">
        <v>121</v>
      </c>
      <c r="D42" s="9">
        <v>205</v>
      </c>
    </row>
    <row r="43" spans="1:4" x14ac:dyDescent="0.3">
      <c r="A43" s="8" t="s">
        <v>3</v>
      </c>
      <c r="B43" s="8" t="s">
        <v>13</v>
      </c>
      <c r="C43" s="8" t="s">
        <v>105</v>
      </c>
      <c r="D43" s="9">
        <v>25</v>
      </c>
    </row>
    <row r="44" spans="1:4" x14ac:dyDescent="0.3">
      <c r="A44" s="8" t="s">
        <v>3</v>
      </c>
      <c r="B44" s="8" t="s">
        <v>13</v>
      </c>
      <c r="C44" s="8" t="s">
        <v>106</v>
      </c>
      <c r="D44" s="9">
        <v>10</v>
      </c>
    </row>
    <row r="45" spans="1:4" x14ac:dyDescent="0.3">
      <c r="A45" s="8" t="s">
        <v>3</v>
      </c>
      <c r="B45" s="8" t="s">
        <v>13</v>
      </c>
      <c r="C45" s="8" t="s">
        <v>122</v>
      </c>
      <c r="D45" s="9">
        <v>15</v>
      </c>
    </row>
    <row r="46" spans="1:4" x14ac:dyDescent="0.3">
      <c r="A46" s="8" t="s">
        <v>3</v>
      </c>
      <c r="B46" s="8" t="s">
        <v>13</v>
      </c>
      <c r="C46" s="8" t="s">
        <v>104</v>
      </c>
      <c r="D46" s="9">
        <v>10</v>
      </c>
    </row>
    <row r="47" spans="1:4" x14ac:dyDescent="0.3">
      <c r="A47" s="8" t="s">
        <v>3</v>
      </c>
      <c r="B47" s="8" t="s">
        <v>13</v>
      </c>
      <c r="C47" s="8" t="s">
        <v>123</v>
      </c>
      <c r="D47" s="9">
        <v>20</v>
      </c>
    </row>
    <row r="48" spans="1:4" x14ac:dyDescent="0.3">
      <c r="A48" s="8" t="s">
        <v>3</v>
      </c>
      <c r="B48" s="8" t="s">
        <v>13</v>
      </c>
      <c r="C48" s="8" t="s">
        <v>92</v>
      </c>
      <c r="D48" s="9">
        <v>10</v>
      </c>
    </row>
    <row r="49" spans="1:4" x14ac:dyDescent="0.3">
      <c r="A49" s="8" t="s">
        <v>3</v>
      </c>
      <c r="B49" s="8" t="s">
        <v>13</v>
      </c>
      <c r="C49" s="8" t="s">
        <v>120</v>
      </c>
      <c r="D49" s="9">
        <v>5</v>
      </c>
    </row>
    <row r="50" spans="1:4" x14ac:dyDescent="0.3">
      <c r="A50" s="8" t="s">
        <v>4</v>
      </c>
      <c r="B50" s="8" t="s">
        <v>11</v>
      </c>
      <c r="C50" s="8" t="s">
        <v>124</v>
      </c>
      <c r="D50" s="9">
        <v>25</v>
      </c>
    </row>
    <row r="51" spans="1:4" x14ac:dyDescent="0.3">
      <c r="A51" s="8" t="s">
        <v>4</v>
      </c>
      <c r="B51" s="8" t="s">
        <v>11</v>
      </c>
      <c r="C51" s="8" t="s">
        <v>125</v>
      </c>
      <c r="D51" s="9">
        <v>90</v>
      </c>
    </row>
    <row r="52" spans="1:4" x14ac:dyDescent="0.3">
      <c r="A52" s="8" t="s">
        <v>4</v>
      </c>
      <c r="B52" s="8" t="s">
        <v>11</v>
      </c>
      <c r="C52" s="8" t="s">
        <v>117</v>
      </c>
      <c r="D52" s="9">
        <v>15</v>
      </c>
    </row>
    <row r="53" spans="1:4" x14ac:dyDescent="0.3">
      <c r="A53" s="8" t="s">
        <v>4</v>
      </c>
      <c r="B53" s="8" t="s">
        <v>11</v>
      </c>
      <c r="C53" s="8" t="s">
        <v>118</v>
      </c>
      <c r="D53" s="9">
        <v>15</v>
      </c>
    </row>
    <row r="54" spans="1:4" x14ac:dyDescent="0.3">
      <c r="A54" s="8" t="s">
        <v>4</v>
      </c>
      <c r="B54" s="8" t="s">
        <v>11</v>
      </c>
      <c r="C54" s="8" t="s">
        <v>106</v>
      </c>
      <c r="D54" s="9">
        <v>5</v>
      </c>
    </row>
    <row r="55" spans="1:4" x14ac:dyDescent="0.3">
      <c r="A55" s="8" t="s">
        <v>4</v>
      </c>
      <c r="B55" s="8" t="s">
        <v>11</v>
      </c>
      <c r="C55" s="8" t="s">
        <v>113</v>
      </c>
      <c r="D55" s="9">
        <v>5</v>
      </c>
    </row>
    <row r="56" spans="1:4" x14ac:dyDescent="0.3">
      <c r="A56" s="8" t="s">
        <v>4</v>
      </c>
      <c r="B56" s="8" t="s">
        <v>11</v>
      </c>
      <c r="C56" s="8" t="s">
        <v>92</v>
      </c>
      <c r="D56" s="9">
        <v>10</v>
      </c>
    </row>
    <row r="57" spans="1:4" x14ac:dyDescent="0.3">
      <c r="A57" s="8" t="s">
        <v>4</v>
      </c>
      <c r="B57" s="8" t="s">
        <v>12</v>
      </c>
      <c r="C57" s="8" t="s">
        <v>124</v>
      </c>
      <c r="D57" s="9">
        <v>30</v>
      </c>
    </row>
    <row r="58" spans="1:4" x14ac:dyDescent="0.3">
      <c r="A58" s="8" t="s">
        <v>4</v>
      </c>
      <c r="B58" s="8" t="s">
        <v>12</v>
      </c>
      <c r="C58" s="8" t="s">
        <v>115</v>
      </c>
      <c r="D58" s="9">
        <v>55</v>
      </c>
    </row>
    <row r="59" spans="1:4" x14ac:dyDescent="0.3">
      <c r="A59" s="8" t="s">
        <v>4</v>
      </c>
      <c r="B59" s="8" t="s">
        <v>12</v>
      </c>
      <c r="C59" s="8" t="s">
        <v>126</v>
      </c>
      <c r="D59" s="9">
        <v>70</v>
      </c>
    </row>
    <row r="60" spans="1:4" x14ac:dyDescent="0.3">
      <c r="A60" s="8" t="s">
        <v>4</v>
      </c>
      <c r="B60" s="8" t="s">
        <v>12</v>
      </c>
      <c r="C60" s="8" t="s">
        <v>127</v>
      </c>
      <c r="D60" s="9">
        <v>35</v>
      </c>
    </row>
    <row r="61" spans="1:4" x14ac:dyDescent="0.3">
      <c r="A61" s="8" t="s">
        <v>4</v>
      </c>
      <c r="B61" s="8" t="s">
        <v>12</v>
      </c>
      <c r="C61" s="8" t="s">
        <v>117</v>
      </c>
      <c r="D61" s="9">
        <v>10</v>
      </c>
    </row>
    <row r="62" spans="1:4" x14ac:dyDescent="0.3">
      <c r="A62" s="8" t="s">
        <v>4</v>
      </c>
      <c r="B62" s="8" t="s">
        <v>12</v>
      </c>
      <c r="C62" s="8" t="s">
        <v>118</v>
      </c>
      <c r="D62" s="9">
        <v>10</v>
      </c>
    </row>
    <row r="63" spans="1:4" x14ac:dyDescent="0.3">
      <c r="A63" s="8" t="s">
        <v>4</v>
      </c>
      <c r="B63" s="8" t="s">
        <v>12</v>
      </c>
      <c r="C63" s="8" t="s">
        <v>106</v>
      </c>
      <c r="D63" s="9">
        <v>5</v>
      </c>
    </row>
    <row r="64" spans="1:4" x14ac:dyDescent="0.3">
      <c r="A64" s="8" t="s">
        <v>4</v>
      </c>
      <c r="B64" s="8" t="s">
        <v>12</v>
      </c>
      <c r="C64" s="8" t="s">
        <v>105</v>
      </c>
      <c r="D64" s="9">
        <v>15</v>
      </c>
    </row>
    <row r="65" spans="1:4" x14ac:dyDescent="0.3">
      <c r="A65" s="8" t="s">
        <v>4</v>
      </c>
      <c r="B65" s="8" t="s">
        <v>12</v>
      </c>
      <c r="C65" s="8" t="s">
        <v>128</v>
      </c>
      <c r="D65" s="9">
        <v>5</v>
      </c>
    </row>
    <row r="66" spans="1:4" x14ac:dyDescent="0.3">
      <c r="A66" s="8" t="s">
        <v>4</v>
      </c>
      <c r="B66" s="8" t="s">
        <v>14</v>
      </c>
      <c r="C66" s="8" t="s">
        <v>129</v>
      </c>
      <c r="D66" s="9">
        <v>75</v>
      </c>
    </row>
    <row r="67" spans="1:4" x14ac:dyDescent="0.3">
      <c r="A67" s="8" t="s">
        <v>4</v>
      </c>
      <c r="B67" s="8" t="s">
        <v>14</v>
      </c>
      <c r="C67" s="8" t="s">
        <v>130</v>
      </c>
      <c r="D67" s="9">
        <v>75</v>
      </c>
    </row>
    <row r="68" spans="1:4" x14ac:dyDescent="0.3">
      <c r="A68" s="8" t="s">
        <v>4</v>
      </c>
      <c r="B68" s="8" t="s">
        <v>14</v>
      </c>
      <c r="C68" s="8" t="s">
        <v>131</v>
      </c>
      <c r="D68" s="9">
        <v>85</v>
      </c>
    </row>
    <row r="69" spans="1:4" x14ac:dyDescent="0.3">
      <c r="A69" s="8" t="s">
        <v>4</v>
      </c>
      <c r="B69" s="8" t="s">
        <v>14</v>
      </c>
      <c r="C69" s="8" t="s">
        <v>132</v>
      </c>
      <c r="D69" s="9">
        <v>35</v>
      </c>
    </row>
    <row r="70" spans="1:4" x14ac:dyDescent="0.3">
      <c r="A70" s="8" t="s">
        <v>4</v>
      </c>
      <c r="B70" s="8" t="s">
        <v>14</v>
      </c>
      <c r="C70" s="8" t="s">
        <v>117</v>
      </c>
      <c r="D70" s="9">
        <v>10</v>
      </c>
    </row>
    <row r="71" spans="1:4" x14ac:dyDescent="0.3">
      <c r="A71" s="8" t="s">
        <v>4</v>
      </c>
      <c r="B71" s="8" t="s">
        <v>14</v>
      </c>
      <c r="C71" s="8" t="s">
        <v>105</v>
      </c>
      <c r="D71" s="9">
        <v>15</v>
      </c>
    </row>
    <row r="72" spans="1:4" x14ac:dyDescent="0.3">
      <c r="A72" s="8" t="s">
        <v>4</v>
      </c>
      <c r="B72" s="8" t="s">
        <v>14</v>
      </c>
      <c r="C72" s="8" t="s">
        <v>106</v>
      </c>
      <c r="D72" s="9">
        <v>5</v>
      </c>
    </row>
    <row r="73" spans="1:4" x14ac:dyDescent="0.3">
      <c r="A73" s="8" t="s">
        <v>4</v>
      </c>
      <c r="B73" s="8" t="s">
        <v>14</v>
      </c>
      <c r="C73" s="8" t="s">
        <v>133</v>
      </c>
      <c r="D73" s="9">
        <v>15</v>
      </c>
    </row>
    <row r="74" spans="1:4" x14ac:dyDescent="0.3">
      <c r="A74" s="8" t="s">
        <v>4</v>
      </c>
      <c r="B74" s="8" t="s">
        <v>14</v>
      </c>
      <c r="C74" s="8" t="s">
        <v>134</v>
      </c>
      <c r="D74" s="9">
        <v>5</v>
      </c>
    </row>
    <row r="75" spans="1:4" x14ac:dyDescent="0.3">
      <c r="A75" s="8" t="s">
        <v>5</v>
      </c>
      <c r="B75" s="8" t="s">
        <v>15</v>
      </c>
      <c r="C75" s="8" t="s">
        <v>135</v>
      </c>
      <c r="D75" s="9">
        <v>25</v>
      </c>
    </row>
    <row r="76" spans="1:4" x14ac:dyDescent="0.3">
      <c r="A76" s="8" t="s">
        <v>5</v>
      </c>
      <c r="B76" s="8" t="s">
        <v>15</v>
      </c>
      <c r="C76" s="8" t="s">
        <v>136</v>
      </c>
      <c r="D76" s="9">
        <v>45</v>
      </c>
    </row>
    <row r="77" spans="1:4" x14ac:dyDescent="0.3">
      <c r="A77" s="8" t="s">
        <v>5</v>
      </c>
      <c r="B77" s="8" t="s">
        <v>15</v>
      </c>
      <c r="C77" s="8" t="s">
        <v>137</v>
      </c>
      <c r="D77" s="9">
        <v>5</v>
      </c>
    </row>
    <row r="78" spans="1:4" x14ac:dyDescent="0.3">
      <c r="A78" s="8" t="s">
        <v>5</v>
      </c>
      <c r="B78" s="8" t="s">
        <v>15</v>
      </c>
      <c r="C78" s="8" t="s">
        <v>138</v>
      </c>
      <c r="D78" s="9">
        <v>5</v>
      </c>
    </row>
    <row r="79" spans="1:4" x14ac:dyDescent="0.3">
      <c r="A79" s="8" t="s">
        <v>5</v>
      </c>
      <c r="B79" s="8" t="s">
        <v>15</v>
      </c>
      <c r="C79" s="8" t="s">
        <v>139</v>
      </c>
      <c r="D79" s="9">
        <v>5</v>
      </c>
    </row>
    <row r="80" spans="1:4" x14ac:dyDescent="0.3">
      <c r="A80" s="8" t="s">
        <v>5</v>
      </c>
      <c r="B80" s="8" t="s">
        <v>16</v>
      </c>
      <c r="C80" s="8" t="s">
        <v>114</v>
      </c>
      <c r="D80" s="9">
        <v>20</v>
      </c>
    </row>
    <row r="81" spans="1:4" x14ac:dyDescent="0.3">
      <c r="A81" s="8" t="s">
        <v>5</v>
      </c>
      <c r="B81" s="8" t="s">
        <v>16</v>
      </c>
      <c r="C81" s="8" t="s">
        <v>109</v>
      </c>
      <c r="D81" s="9">
        <v>70</v>
      </c>
    </row>
    <row r="82" spans="1:4" x14ac:dyDescent="0.3">
      <c r="A82" s="8" t="s">
        <v>5</v>
      </c>
      <c r="B82" s="8" t="s">
        <v>16</v>
      </c>
      <c r="C82" s="8" t="s">
        <v>117</v>
      </c>
      <c r="D82" s="9">
        <v>10</v>
      </c>
    </row>
    <row r="83" spans="1:4" x14ac:dyDescent="0.3">
      <c r="A83" s="8" t="s">
        <v>5</v>
      </c>
      <c r="B83" s="8" t="s">
        <v>16</v>
      </c>
      <c r="C83" s="8" t="s">
        <v>118</v>
      </c>
      <c r="D83" s="9">
        <v>10</v>
      </c>
    </row>
    <row r="84" spans="1:4" x14ac:dyDescent="0.3">
      <c r="A84" s="8" t="s">
        <v>5</v>
      </c>
      <c r="B84" s="8" t="s">
        <v>16</v>
      </c>
      <c r="C84" s="8" t="s">
        <v>106</v>
      </c>
      <c r="D84" s="9">
        <v>5</v>
      </c>
    </row>
    <row r="85" spans="1:4" x14ac:dyDescent="0.3">
      <c r="A85" s="8" t="s">
        <v>5</v>
      </c>
      <c r="B85" s="8" t="s">
        <v>16</v>
      </c>
      <c r="C85" s="8" t="s">
        <v>113</v>
      </c>
      <c r="D85" s="9">
        <v>5</v>
      </c>
    </row>
    <row r="86" spans="1:4" x14ac:dyDescent="0.3">
      <c r="A86" s="8" t="s">
        <v>5</v>
      </c>
      <c r="B86" s="8" t="s">
        <v>16</v>
      </c>
      <c r="C86" s="8" t="s">
        <v>92</v>
      </c>
      <c r="D86" s="9">
        <v>5</v>
      </c>
    </row>
    <row r="87" spans="1:4" x14ac:dyDescent="0.3">
      <c r="A87" s="8" t="s">
        <v>5</v>
      </c>
      <c r="B87" s="8" t="s">
        <v>16</v>
      </c>
      <c r="C87" s="8" t="s">
        <v>139</v>
      </c>
      <c r="D87" s="9">
        <v>5</v>
      </c>
    </row>
    <row r="88" spans="1:4" x14ac:dyDescent="0.3">
      <c r="A88" s="8" t="s">
        <v>5</v>
      </c>
      <c r="B88" s="8" t="s">
        <v>17</v>
      </c>
      <c r="C88" s="8" t="s">
        <v>124</v>
      </c>
      <c r="D88" s="9">
        <v>25</v>
      </c>
    </row>
    <row r="89" spans="1:4" x14ac:dyDescent="0.3">
      <c r="A89" s="8" t="s">
        <v>5</v>
      </c>
      <c r="B89" s="8" t="s">
        <v>17</v>
      </c>
      <c r="C89" s="8" t="s">
        <v>115</v>
      </c>
      <c r="D89" s="9">
        <v>55</v>
      </c>
    </row>
    <row r="90" spans="1:4" x14ac:dyDescent="0.3">
      <c r="A90" s="8" t="s">
        <v>5</v>
      </c>
      <c r="B90" s="8" t="s">
        <v>17</v>
      </c>
      <c r="C90" s="8" t="s">
        <v>103</v>
      </c>
      <c r="D90" s="9">
        <v>60</v>
      </c>
    </row>
    <row r="91" spans="1:4" x14ac:dyDescent="0.3">
      <c r="A91" s="8" t="s">
        <v>5</v>
      </c>
      <c r="B91" s="8" t="s">
        <v>17</v>
      </c>
      <c r="C91" s="8" t="s">
        <v>117</v>
      </c>
      <c r="D91" s="9">
        <v>10</v>
      </c>
    </row>
    <row r="92" spans="1:4" x14ac:dyDescent="0.3">
      <c r="A92" s="8" t="s">
        <v>5</v>
      </c>
      <c r="B92" s="8" t="s">
        <v>17</v>
      </c>
      <c r="C92" s="8" t="s">
        <v>118</v>
      </c>
      <c r="D92" s="9">
        <v>10</v>
      </c>
    </row>
    <row r="93" spans="1:4" x14ac:dyDescent="0.3">
      <c r="A93" s="8" t="s">
        <v>5</v>
      </c>
      <c r="B93" s="8" t="s">
        <v>17</v>
      </c>
      <c r="C93" s="8" t="s">
        <v>106</v>
      </c>
      <c r="D93" s="9">
        <v>5</v>
      </c>
    </row>
    <row r="94" spans="1:4" x14ac:dyDescent="0.3">
      <c r="A94" s="8" t="s">
        <v>5</v>
      </c>
      <c r="B94" s="8" t="s">
        <v>17</v>
      </c>
      <c r="C94" s="8" t="s">
        <v>122</v>
      </c>
      <c r="D94" s="9">
        <v>10</v>
      </c>
    </row>
    <row r="95" spans="1:4" x14ac:dyDescent="0.3">
      <c r="A95" s="8" t="s">
        <v>5</v>
      </c>
      <c r="B95" s="8" t="s">
        <v>17</v>
      </c>
      <c r="C95" s="8" t="s">
        <v>140</v>
      </c>
      <c r="D95" s="9">
        <v>5</v>
      </c>
    </row>
    <row r="96" spans="1:4" x14ac:dyDescent="0.3">
      <c r="A96" s="8" t="s">
        <v>5</v>
      </c>
      <c r="B96" s="8" t="s">
        <v>17</v>
      </c>
      <c r="C96" s="8" t="s">
        <v>92</v>
      </c>
      <c r="D96" s="9">
        <v>5</v>
      </c>
    </row>
    <row r="97" spans="1:4" x14ac:dyDescent="0.3">
      <c r="A97" s="8" t="s">
        <v>5</v>
      </c>
      <c r="B97" s="8" t="s">
        <v>17</v>
      </c>
      <c r="C97" s="8" t="s">
        <v>139</v>
      </c>
      <c r="D97" s="9">
        <v>5</v>
      </c>
    </row>
    <row r="98" spans="1:4" ht="27.6" x14ac:dyDescent="0.3">
      <c r="A98" s="8" t="s">
        <v>6</v>
      </c>
      <c r="B98" s="8" t="s">
        <v>141</v>
      </c>
      <c r="C98" s="8" t="s">
        <v>142</v>
      </c>
      <c r="D98" s="9">
        <v>10</v>
      </c>
    </row>
    <row r="99" spans="1:4" ht="27.6" x14ac:dyDescent="0.3">
      <c r="A99" s="8" t="s">
        <v>6</v>
      </c>
      <c r="B99" s="8" t="s">
        <v>141</v>
      </c>
      <c r="C99" s="8" t="s">
        <v>143</v>
      </c>
      <c r="D99" s="9">
        <v>10</v>
      </c>
    </row>
    <row r="100" spans="1:4" ht="27.6" x14ac:dyDescent="0.3">
      <c r="A100" s="8" t="s">
        <v>6</v>
      </c>
      <c r="B100" s="8" t="s">
        <v>141</v>
      </c>
      <c r="C100" s="8" t="s">
        <v>144</v>
      </c>
      <c r="D100" s="9">
        <v>15</v>
      </c>
    </row>
    <row r="101" spans="1:4" ht="27.6" x14ac:dyDescent="0.3">
      <c r="A101" s="8" t="s">
        <v>6</v>
      </c>
      <c r="B101" s="8" t="s">
        <v>141</v>
      </c>
      <c r="C101" s="8" t="s">
        <v>145</v>
      </c>
      <c r="D101" s="9">
        <v>5</v>
      </c>
    </row>
    <row r="102" spans="1:4" ht="27.6" x14ac:dyDescent="0.3">
      <c r="A102" s="8" t="s">
        <v>6</v>
      </c>
      <c r="B102" s="8" t="s">
        <v>141</v>
      </c>
      <c r="C102" s="8" t="s">
        <v>101</v>
      </c>
      <c r="D102" s="9">
        <v>3</v>
      </c>
    </row>
    <row r="103" spans="1:4" ht="27.6" x14ac:dyDescent="0.3">
      <c r="A103" s="8" t="s">
        <v>6</v>
      </c>
      <c r="B103" s="8" t="s">
        <v>141</v>
      </c>
      <c r="C103" s="8" t="s">
        <v>139</v>
      </c>
      <c r="D103" s="9">
        <v>2</v>
      </c>
    </row>
    <row r="104" spans="1:4" x14ac:dyDescent="0.3">
      <c r="A104" s="8" t="s">
        <v>6</v>
      </c>
      <c r="B104" s="8" t="s">
        <v>19</v>
      </c>
      <c r="C104" s="8" t="s">
        <v>146</v>
      </c>
      <c r="D104" s="9">
        <v>20</v>
      </c>
    </row>
    <row r="105" spans="1:4" x14ac:dyDescent="0.3">
      <c r="A105" s="8" t="s">
        <v>6</v>
      </c>
      <c r="B105" s="8" t="s">
        <v>19</v>
      </c>
      <c r="C105" s="8" t="s">
        <v>109</v>
      </c>
      <c r="D105" s="9">
        <v>80</v>
      </c>
    </row>
    <row r="106" spans="1:4" x14ac:dyDescent="0.3">
      <c r="A106" s="8" t="s">
        <v>6</v>
      </c>
      <c r="B106" s="8" t="s">
        <v>19</v>
      </c>
      <c r="C106" s="8" t="s">
        <v>117</v>
      </c>
      <c r="D106" s="9">
        <v>10</v>
      </c>
    </row>
    <row r="107" spans="1:4" x14ac:dyDescent="0.3">
      <c r="A107" s="8" t="s">
        <v>6</v>
      </c>
      <c r="B107" s="8" t="s">
        <v>19</v>
      </c>
      <c r="C107" s="8" t="s">
        <v>118</v>
      </c>
      <c r="D107" s="9">
        <v>10</v>
      </c>
    </row>
    <row r="108" spans="1:4" x14ac:dyDescent="0.3">
      <c r="A108" s="8" t="s">
        <v>6</v>
      </c>
      <c r="B108" s="8" t="s">
        <v>19</v>
      </c>
      <c r="C108" s="8" t="s">
        <v>106</v>
      </c>
      <c r="D108" s="9">
        <v>5</v>
      </c>
    </row>
    <row r="109" spans="1:4" x14ac:dyDescent="0.3">
      <c r="A109" s="8" t="s">
        <v>6</v>
      </c>
      <c r="B109" s="8" t="s">
        <v>19</v>
      </c>
      <c r="C109" s="8" t="s">
        <v>147</v>
      </c>
      <c r="D109" s="9">
        <v>5</v>
      </c>
    </row>
    <row r="110" spans="1:4" x14ac:dyDescent="0.3">
      <c r="A110" s="8" t="s">
        <v>6</v>
      </c>
      <c r="B110" s="8" t="s">
        <v>20</v>
      </c>
      <c r="C110" s="8" t="s">
        <v>148</v>
      </c>
      <c r="D110" s="9">
        <v>25</v>
      </c>
    </row>
    <row r="111" spans="1:4" x14ac:dyDescent="0.3">
      <c r="A111" s="8" t="s">
        <v>6</v>
      </c>
      <c r="B111" s="8" t="s">
        <v>20</v>
      </c>
      <c r="C111" s="8" t="s">
        <v>149</v>
      </c>
      <c r="D111" s="9">
        <v>110</v>
      </c>
    </row>
    <row r="112" spans="1:4" x14ac:dyDescent="0.3">
      <c r="A112" s="8" t="s">
        <v>6</v>
      </c>
      <c r="B112" s="8" t="s">
        <v>20</v>
      </c>
      <c r="C112" s="8" t="s">
        <v>150</v>
      </c>
      <c r="D112" s="9">
        <v>30</v>
      </c>
    </row>
    <row r="113" spans="1:4" x14ac:dyDescent="0.3">
      <c r="A113" s="8" t="s">
        <v>6</v>
      </c>
      <c r="B113" s="8" t="s">
        <v>20</v>
      </c>
      <c r="C113" s="8" t="s">
        <v>117</v>
      </c>
      <c r="D113" s="9">
        <v>10</v>
      </c>
    </row>
    <row r="114" spans="1:4" x14ac:dyDescent="0.3">
      <c r="A114" s="8" t="s">
        <v>6</v>
      </c>
      <c r="B114" s="8" t="s">
        <v>20</v>
      </c>
      <c r="C114" s="8" t="s">
        <v>118</v>
      </c>
      <c r="D114" s="9">
        <v>10</v>
      </c>
    </row>
    <row r="115" spans="1:4" x14ac:dyDescent="0.3">
      <c r="A115" s="8" t="s">
        <v>6</v>
      </c>
      <c r="B115" s="8" t="s">
        <v>20</v>
      </c>
      <c r="C115" s="8" t="s">
        <v>151</v>
      </c>
      <c r="D115" s="9">
        <v>10</v>
      </c>
    </row>
    <row r="116" spans="1:4" x14ac:dyDescent="0.3">
      <c r="A116" s="8" t="s">
        <v>6</v>
      </c>
      <c r="B116" s="8" t="s">
        <v>20</v>
      </c>
      <c r="C116" s="8" t="s">
        <v>152</v>
      </c>
      <c r="D116" s="9">
        <v>15</v>
      </c>
    </row>
    <row r="117" spans="1:4" x14ac:dyDescent="0.3">
      <c r="A117" s="8" t="s">
        <v>6</v>
      </c>
      <c r="B117" s="8" t="s">
        <v>20</v>
      </c>
      <c r="C117" s="8" t="s">
        <v>153</v>
      </c>
      <c r="D117" s="9">
        <v>10</v>
      </c>
    </row>
    <row r="118" spans="1:4" x14ac:dyDescent="0.3">
      <c r="A118" s="8" t="s">
        <v>6</v>
      </c>
      <c r="B118" s="8" t="s">
        <v>21</v>
      </c>
      <c r="C118" s="8" t="s">
        <v>154</v>
      </c>
      <c r="D118" s="9">
        <v>90</v>
      </c>
    </row>
    <row r="119" spans="1:4" x14ac:dyDescent="0.3">
      <c r="A119" s="8" t="s">
        <v>6</v>
      </c>
      <c r="B119" s="8" t="s">
        <v>21</v>
      </c>
      <c r="C119" s="8" t="s">
        <v>155</v>
      </c>
      <c r="D119" s="9">
        <v>70</v>
      </c>
    </row>
    <row r="120" spans="1:4" x14ac:dyDescent="0.3">
      <c r="A120" s="8" t="s">
        <v>6</v>
      </c>
      <c r="B120" s="8" t="s">
        <v>21</v>
      </c>
      <c r="C120" s="8" t="s">
        <v>156</v>
      </c>
      <c r="D120" s="9">
        <v>60</v>
      </c>
    </row>
    <row r="121" spans="1:4" x14ac:dyDescent="0.3">
      <c r="A121" s="8" t="s">
        <v>6</v>
      </c>
      <c r="B121" s="8" t="s">
        <v>21</v>
      </c>
      <c r="C121" s="8" t="s">
        <v>150</v>
      </c>
      <c r="D121" s="9">
        <v>35</v>
      </c>
    </row>
    <row r="122" spans="1:4" x14ac:dyDescent="0.3">
      <c r="A122" s="8" t="s">
        <v>6</v>
      </c>
      <c r="B122" s="8" t="s">
        <v>21</v>
      </c>
      <c r="C122" s="8" t="s">
        <v>151</v>
      </c>
      <c r="D122" s="9">
        <v>15</v>
      </c>
    </row>
    <row r="123" spans="1:4" x14ac:dyDescent="0.3">
      <c r="A123" s="8" t="s">
        <v>6</v>
      </c>
      <c r="B123" s="8" t="s">
        <v>21</v>
      </c>
      <c r="C123" s="8" t="s">
        <v>157</v>
      </c>
      <c r="D123" s="9">
        <v>15</v>
      </c>
    </row>
    <row r="124" spans="1:4" x14ac:dyDescent="0.3">
      <c r="A124" s="8" t="s">
        <v>6</v>
      </c>
      <c r="B124" s="8" t="s">
        <v>21</v>
      </c>
      <c r="C124" s="8" t="s">
        <v>152</v>
      </c>
      <c r="D124" s="9">
        <v>15</v>
      </c>
    </row>
    <row r="125" spans="1:4" x14ac:dyDescent="0.3">
      <c r="A125" s="8" t="s">
        <v>6</v>
      </c>
      <c r="B125" s="8" t="s">
        <v>21</v>
      </c>
      <c r="C125" s="8" t="s">
        <v>158</v>
      </c>
      <c r="D125" s="9">
        <v>15</v>
      </c>
    </row>
    <row r="126" spans="1:4" x14ac:dyDescent="0.3">
      <c r="A126" s="8" t="s">
        <v>6</v>
      </c>
      <c r="B126" s="8" t="s">
        <v>21</v>
      </c>
      <c r="C126" s="8" t="s">
        <v>159</v>
      </c>
      <c r="D126" s="9">
        <v>5</v>
      </c>
    </row>
    <row r="127" spans="1:4" x14ac:dyDescent="0.3">
      <c r="A127" s="8" t="s">
        <v>7</v>
      </c>
      <c r="B127" s="8" t="s">
        <v>22</v>
      </c>
      <c r="C127" s="8" t="s">
        <v>160</v>
      </c>
      <c r="D127" s="9">
        <v>35</v>
      </c>
    </row>
    <row r="128" spans="1:4" x14ac:dyDescent="0.3">
      <c r="A128" s="8" t="s">
        <v>7</v>
      </c>
      <c r="B128" s="8" t="s">
        <v>22</v>
      </c>
      <c r="C128" s="8" t="s">
        <v>161</v>
      </c>
      <c r="D128" s="9">
        <v>30</v>
      </c>
    </row>
    <row r="129" spans="1:4" x14ac:dyDescent="0.3">
      <c r="A129" s="8" t="s">
        <v>7</v>
      </c>
      <c r="B129" s="8" t="s">
        <v>22</v>
      </c>
      <c r="C129" s="8" t="s">
        <v>162</v>
      </c>
      <c r="D129" s="9">
        <v>15</v>
      </c>
    </row>
    <row r="130" spans="1:4" x14ac:dyDescent="0.3">
      <c r="A130" s="8" t="s">
        <v>7</v>
      </c>
      <c r="B130" s="8" t="s">
        <v>22</v>
      </c>
      <c r="C130" s="8" t="s">
        <v>163</v>
      </c>
      <c r="D130" s="9">
        <v>15</v>
      </c>
    </row>
    <row r="131" spans="1:4" x14ac:dyDescent="0.3">
      <c r="A131" s="8" t="s">
        <v>7</v>
      </c>
      <c r="B131" s="8" t="s">
        <v>22</v>
      </c>
      <c r="C131" s="8" t="s">
        <v>164</v>
      </c>
      <c r="D131" s="9">
        <v>15</v>
      </c>
    </row>
    <row r="132" spans="1:4" x14ac:dyDescent="0.3">
      <c r="A132" s="8" t="s">
        <v>7</v>
      </c>
      <c r="B132" s="8" t="s">
        <v>22</v>
      </c>
      <c r="C132" s="8" t="s">
        <v>153</v>
      </c>
      <c r="D132" s="9">
        <v>5</v>
      </c>
    </row>
    <row r="133" spans="1:4" x14ac:dyDescent="0.3">
      <c r="A133" s="8" t="s">
        <v>7</v>
      </c>
      <c r="B133" s="8" t="s">
        <v>23</v>
      </c>
      <c r="C133" s="8" t="s">
        <v>124</v>
      </c>
      <c r="D133" s="9">
        <v>30</v>
      </c>
    </row>
    <row r="134" spans="1:4" x14ac:dyDescent="0.3">
      <c r="A134" s="8" t="s">
        <v>7</v>
      </c>
      <c r="B134" s="8" t="s">
        <v>23</v>
      </c>
      <c r="C134" s="8" t="s">
        <v>115</v>
      </c>
      <c r="D134" s="9">
        <v>60</v>
      </c>
    </row>
    <row r="135" spans="1:4" x14ac:dyDescent="0.3">
      <c r="A135" s="8" t="s">
        <v>7</v>
      </c>
      <c r="B135" s="8" t="s">
        <v>23</v>
      </c>
      <c r="C135" s="8" t="s">
        <v>103</v>
      </c>
      <c r="D135" s="9">
        <v>75</v>
      </c>
    </row>
    <row r="136" spans="1:4" x14ac:dyDescent="0.3">
      <c r="A136" s="8" t="s">
        <v>7</v>
      </c>
      <c r="B136" s="8" t="s">
        <v>23</v>
      </c>
      <c r="C136" s="8" t="s">
        <v>165</v>
      </c>
      <c r="D136" s="9">
        <v>40</v>
      </c>
    </row>
    <row r="137" spans="1:4" x14ac:dyDescent="0.3">
      <c r="A137" s="8" t="s">
        <v>7</v>
      </c>
      <c r="B137" s="8" t="s">
        <v>23</v>
      </c>
      <c r="C137" s="8" t="s">
        <v>117</v>
      </c>
      <c r="D137" s="9">
        <v>10</v>
      </c>
    </row>
    <row r="138" spans="1:4" x14ac:dyDescent="0.3">
      <c r="A138" s="8" t="s">
        <v>7</v>
      </c>
      <c r="B138" s="8" t="s">
        <v>23</v>
      </c>
      <c r="C138" s="8" t="s">
        <v>118</v>
      </c>
      <c r="D138" s="9">
        <v>10</v>
      </c>
    </row>
    <row r="139" spans="1:4" x14ac:dyDescent="0.3">
      <c r="A139" s="8" t="s">
        <v>7</v>
      </c>
      <c r="B139" s="8" t="s">
        <v>23</v>
      </c>
      <c r="C139" s="8" t="s">
        <v>106</v>
      </c>
      <c r="D139" s="9">
        <v>5</v>
      </c>
    </row>
    <row r="140" spans="1:4" x14ac:dyDescent="0.3">
      <c r="A140" s="8" t="s">
        <v>7</v>
      </c>
      <c r="B140" s="8" t="s">
        <v>23</v>
      </c>
      <c r="C140" s="8" t="s">
        <v>105</v>
      </c>
      <c r="D140" s="9">
        <v>10</v>
      </c>
    </row>
    <row r="141" spans="1:4" x14ac:dyDescent="0.3">
      <c r="A141" s="8" t="s">
        <v>7</v>
      </c>
      <c r="B141" s="8" t="s">
        <v>23</v>
      </c>
      <c r="C141" s="8" t="s">
        <v>152</v>
      </c>
      <c r="D141" s="9">
        <v>5</v>
      </c>
    </row>
    <row r="142" spans="1:4" x14ac:dyDescent="0.3">
      <c r="A142" s="8" t="s">
        <v>7</v>
      </c>
      <c r="B142" s="8" t="s">
        <v>24</v>
      </c>
      <c r="C142" s="8" t="s">
        <v>166</v>
      </c>
      <c r="D142" s="9">
        <v>180</v>
      </c>
    </row>
    <row r="143" spans="1:4" x14ac:dyDescent="0.3">
      <c r="A143" s="8" t="s">
        <v>7</v>
      </c>
      <c r="B143" s="8" t="s">
        <v>24</v>
      </c>
      <c r="C143" s="8" t="s">
        <v>167</v>
      </c>
      <c r="D143" s="9">
        <v>110</v>
      </c>
    </row>
    <row r="144" spans="1:4" x14ac:dyDescent="0.3">
      <c r="A144" s="8" t="s">
        <v>7</v>
      </c>
      <c r="B144" s="8" t="s">
        <v>24</v>
      </c>
      <c r="C144" s="8" t="s">
        <v>168</v>
      </c>
      <c r="D144" s="9">
        <v>25</v>
      </c>
    </row>
    <row r="145" spans="1:4" x14ac:dyDescent="0.3">
      <c r="A145" s="8" t="s">
        <v>7</v>
      </c>
      <c r="B145" s="8" t="s">
        <v>24</v>
      </c>
      <c r="C145" s="8" t="s">
        <v>151</v>
      </c>
      <c r="D145" s="9">
        <v>20</v>
      </c>
    </row>
    <row r="146" spans="1:4" x14ac:dyDescent="0.3">
      <c r="A146" s="8" t="s">
        <v>7</v>
      </c>
      <c r="B146" s="8" t="s">
        <v>24</v>
      </c>
      <c r="C146" s="8" t="s">
        <v>169</v>
      </c>
      <c r="D146" s="9">
        <v>10</v>
      </c>
    </row>
    <row r="147" spans="1:4" x14ac:dyDescent="0.3">
      <c r="A147" s="8" t="s">
        <v>7</v>
      </c>
      <c r="B147" s="8" t="s">
        <v>24</v>
      </c>
      <c r="C147" s="8" t="s">
        <v>153</v>
      </c>
      <c r="D147" s="9">
        <v>25</v>
      </c>
    </row>
    <row r="148" spans="1:4" x14ac:dyDescent="0.3">
      <c r="A148" s="8" t="s">
        <v>7</v>
      </c>
      <c r="B148" s="8" t="s">
        <v>24</v>
      </c>
      <c r="C148" s="8" t="s">
        <v>152</v>
      </c>
      <c r="D148" s="9">
        <v>10</v>
      </c>
    </row>
    <row r="150" spans="1:4" x14ac:dyDescent="0.3">
      <c r="A150" s="23" t="s">
        <v>181</v>
      </c>
      <c r="B150" s="23"/>
      <c r="C150" s="23"/>
      <c r="D150" s="23"/>
    </row>
  </sheetData>
  <mergeCells count="2">
    <mergeCell ref="A1:D1"/>
    <mergeCell ref="A150:D15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>
      <pane ySplit="3" topLeftCell="A16" activePane="bottomLeft" state="frozen"/>
      <selection pane="bottomLeft" sqref="A1:G1"/>
    </sheetView>
  </sheetViews>
  <sheetFormatPr defaultColWidth="8.6640625" defaultRowHeight="14.4" x14ac:dyDescent="0.3"/>
  <cols>
    <col min="1" max="1" width="22" customWidth="1"/>
    <col min="2" max="2" width="26" customWidth="1"/>
    <col min="3" max="3" width="14" customWidth="1"/>
    <col min="4" max="4" width="16" customWidth="1"/>
    <col min="5" max="5" width="12" customWidth="1"/>
    <col min="6" max="6" width="13" customWidth="1"/>
    <col min="7" max="7" width="40" customWidth="1"/>
  </cols>
  <sheetData>
    <row r="1" spans="1:7" ht="17.399999999999999" x14ac:dyDescent="0.3">
      <c r="A1" s="22" t="s">
        <v>182</v>
      </c>
      <c r="B1" s="22"/>
      <c r="C1" s="22"/>
      <c r="D1" s="22"/>
      <c r="E1" s="22"/>
      <c r="F1" s="22"/>
      <c r="G1" s="22"/>
    </row>
    <row r="3" spans="1:7" ht="27.6" x14ac:dyDescent="0.3">
      <c r="A3" s="7" t="s">
        <v>178</v>
      </c>
      <c r="B3" s="7" t="s">
        <v>44</v>
      </c>
      <c r="C3" s="7" t="s">
        <v>183</v>
      </c>
      <c r="D3" s="7" t="s">
        <v>184</v>
      </c>
      <c r="E3" s="7" t="s">
        <v>185</v>
      </c>
      <c r="F3" s="7" t="s">
        <v>186</v>
      </c>
      <c r="G3" s="7" t="s">
        <v>187</v>
      </c>
    </row>
    <row r="4" spans="1:7" ht="15" customHeight="1" x14ac:dyDescent="0.3">
      <c r="A4" s="24" t="s">
        <v>2</v>
      </c>
      <c r="B4" s="24"/>
      <c r="C4" s="24"/>
      <c r="D4" s="24"/>
      <c r="E4" s="24"/>
      <c r="F4" s="24"/>
      <c r="G4" s="24"/>
    </row>
    <row r="5" spans="1:7" x14ac:dyDescent="0.3">
      <c r="A5" s="8" t="s">
        <v>2</v>
      </c>
      <c r="B5" s="10" t="s">
        <v>8</v>
      </c>
      <c r="C5" s="11">
        <v>120</v>
      </c>
      <c r="D5" s="12">
        <f>SUMIFS('Item Cost Detail'!$D:$D,'Item Cost Detail'!$A:$A,$A5,'Item Cost Detail'!$B:$B,$B5)</f>
        <v>70</v>
      </c>
      <c r="E5" s="12">
        <f>C5-D5</f>
        <v>50</v>
      </c>
      <c r="F5" s="13">
        <f>IF(C5=0,0,E5/C5)</f>
        <v>0.41666666666666669</v>
      </c>
      <c r="G5" s="14"/>
    </row>
    <row r="6" spans="1:7" x14ac:dyDescent="0.3">
      <c r="A6" s="8" t="s">
        <v>2</v>
      </c>
      <c r="B6" s="10" t="s">
        <v>9</v>
      </c>
      <c r="C6" s="11">
        <v>180</v>
      </c>
      <c r="D6" s="12">
        <f>SUMIFS('Item Cost Detail'!$D:$D,'Item Cost Detail'!$A:$A,$A6,'Item Cost Detail'!$B:$B,$B6)</f>
        <v>105</v>
      </c>
      <c r="E6" s="12">
        <f>C6-D6</f>
        <v>75</v>
      </c>
      <c r="F6" s="13">
        <f>IF(C6=0,0,E6/C6)</f>
        <v>0.41666666666666669</v>
      </c>
      <c r="G6" s="14"/>
    </row>
    <row r="7" spans="1:7" x14ac:dyDescent="0.3">
      <c r="A7" s="8" t="s">
        <v>2</v>
      </c>
      <c r="B7" s="10" t="s">
        <v>10</v>
      </c>
      <c r="C7" s="11">
        <v>250</v>
      </c>
      <c r="D7" s="12">
        <f>SUMIFS('Item Cost Detail'!$D:$D,'Item Cost Detail'!$A:$A,$A7,'Item Cost Detail'!$B:$B,$B7)</f>
        <v>145</v>
      </c>
      <c r="E7" s="12">
        <f>C7-D7</f>
        <v>105</v>
      </c>
      <c r="F7" s="13">
        <f>IF(C7=0,0,E7/C7)</f>
        <v>0.42</v>
      </c>
      <c r="G7" s="14"/>
    </row>
    <row r="8" spans="1:7" ht="15" customHeight="1" x14ac:dyDescent="0.3">
      <c r="A8" s="24" t="s">
        <v>3</v>
      </c>
      <c r="B8" s="24"/>
      <c r="C8" s="24"/>
      <c r="D8" s="24"/>
      <c r="E8" s="24"/>
      <c r="F8" s="24"/>
      <c r="G8" s="24"/>
    </row>
    <row r="9" spans="1:7" x14ac:dyDescent="0.3">
      <c r="A9" s="8" t="s">
        <v>3</v>
      </c>
      <c r="B9" s="10" t="s">
        <v>11</v>
      </c>
      <c r="C9" s="11">
        <v>250</v>
      </c>
      <c r="D9" s="12">
        <f>SUMIFS('Item Cost Detail'!$D:$D,'Item Cost Detail'!$A:$A,$A9,'Item Cost Detail'!$B:$B,$B9)</f>
        <v>145</v>
      </c>
      <c r="E9" s="12">
        <f>C9-D9</f>
        <v>105</v>
      </c>
      <c r="F9" s="13">
        <f>IF(C9=0,0,E9/C9)</f>
        <v>0.42</v>
      </c>
      <c r="G9" s="14"/>
    </row>
    <row r="10" spans="1:7" x14ac:dyDescent="0.3">
      <c r="A10" s="8" t="s">
        <v>3</v>
      </c>
      <c r="B10" s="10" t="s">
        <v>12</v>
      </c>
      <c r="C10" s="11">
        <v>350</v>
      </c>
      <c r="D10" s="12">
        <f>SUMIFS('Item Cost Detail'!$D:$D,'Item Cost Detail'!$A:$A,$A10,'Item Cost Detail'!$B:$B,$B10)</f>
        <v>205</v>
      </c>
      <c r="E10" s="12">
        <f>C10-D10</f>
        <v>145</v>
      </c>
      <c r="F10" s="13">
        <f>IF(C10=0,0,E10/C10)</f>
        <v>0.41428571428571431</v>
      </c>
      <c r="G10" s="14"/>
    </row>
    <row r="11" spans="1:7" x14ac:dyDescent="0.3">
      <c r="A11" s="8" t="s">
        <v>3</v>
      </c>
      <c r="B11" s="10" t="s">
        <v>13</v>
      </c>
      <c r="C11" s="11">
        <v>500</v>
      </c>
      <c r="D11" s="12">
        <f>SUMIFS('Item Cost Detail'!$D:$D,'Item Cost Detail'!$A:$A,$A11,'Item Cost Detail'!$B:$B,$B11)</f>
        <v>300</v>
      </c>
      <c r="E11" s="12">
        <f>C11-D11</f>
        <v>200</v>
      </c>
      <c r="F11" s="13">
        <f>IF(C11=0,0,E11/C11)</f>
        <v>0.4</v>
      </c>
      <c r="G11" s="14" t="s">
        <v>188</v>
      </c>
    </row>
    <row r="12" spans="1:7" ht="15" customHeight="1" x14ac:dyDescent="0.3">
      <c r="A12" s="24" t="s">
        <v>4</v>
      </c>
      <c r="B12" s="24"/>
      <c r="C12" s="24"/>
      <c r="D12" s="24"/>
      <c r="E12" s="24"/>
      <c r="F12" s="24"/>
      <c r="G12" s="24"/>
    </row>
    <row r="13" spans="1:7" x14ac:dyDescent="0.3">
      <c r="A13" s="8" t="s">
        <v>4</v>
      </c>
      <c r="B13" s="10" t="s">
        <v>11</v>
      </c>
      <c r="C13" s="11">
        <v>280</v>
      </c>
      <c r="D13" s="12">
        <f>SUMIFS('Item Cost Detail'!$D:$D,'Item Cost Detail'!$A:$A,$A13,'Item Cost Detail'!$B:$B,$B13)</f>
        <v>165</v>
      </c>
      <c r="E13" s="12">
        <f>C13-D13</f>
        <v>115</v>
      </c>
      <c r="F13" s="13">
        <f>IF(C13=0,0,E13/C13)</f>
        <v>0.4107142857142857</v>
      </c>
      <c r="G13" s="14"/>
    </row>
    <row r="14" spans="1:7" x14ac:dyDescent="0.3">
      <c r="A14" s="8" t="s">
        <v>4</v>
      </c>
      <c r="B14" s="10" t="s">
        <v>12</v>
      </c>
      <c r="C14" s="11">
        <v>400</v>
      </c>
      <c r="D14" s="12">
        <f>SUMIFS('Item Cost Detail'!$D:$D,'Item Cost Detail'!$A:$A,$A14,'Item Cost Detail'!$B:$B,$B14)</f>
        <v>235</v>
      </c>
      <c r="E14" s="12">
        <f>C14-D14</f>
        <v>165</v>
      </c>
      <c r="F14" s="13">
        <f>IF(C14=0,0,E14/C14)</f>
        <v>0.41249999999999998</v>
      </c>
      <c r="G14" s="14"/>
    </row>
    <row r="15" spans="1:7" x14ac:dyDescent="0.3">
      <c r="A15" s="8" t="s">
        <v>4</v>
      </c>
      <c r="B15" s="10" t="s">
        <v>14</v>
      </c>
      <c r="C15" s="11">
        <v>550</v>
      </c>
      <c r="D15" s="12">
        <f>SUMIFS('Item Cost Detail'!$D:$D,'Item Cost Detail'!$A:$A,$A15,'Item Cost Detail'!$B:$B,$B15)</f>
        <v>320</v>
      </c>
      <c r="E15" s="12">
        <f>C15-D15</f>
        <v>230</v>
      </c>
      <c r="F15" s="13">
        <f>IF(C15=0,0,E15/C15)</f>
        <v>0.41818181818181815</v>
      </c>
      <c r="G15" s="14"/>
    </row>
    <row r="16" spans="1:7" ht="15" customHeight="1" x14ac:dyDescent="0.3">
      <c r="A16" s="24" t="s">
        <v>5</v>
      </c>
      <c r="B16" s="24"/>
      <c r="C16" s="24"/>
      <c r="D16" s="24"/>
      <c r="E16" s="24"/>
      <c r="F16" s="24"/>
      <c r="G16" s="24"/>
    </row>
    <row r="17" spans="1:7" x14ac:dyDescent="0.3">
      <c r="A17" s="8" t="s">
        <v>5</v>
      </c>
      <c r="B17" s="10" t="s">
        <v>15</v>
      </c>
      <c r="C17" s="11">
        <v>150</v>
      </c>
      <c r="D17" s="12">
        <f>SUMIFS('Item Cost Detail'!$D:$D,'Item Cost Detail'!$A:$A,$A17,'Item Cost Detail'!$B:$B,$B17)</f>
        <v>85</v>
      </c>
      <c r="E17" s="12">
        <f>C17-D17</f>
        <v>65</v>
      </c>
      <c r="F17" s="13">
        <f>IF(C17=0,0,E17/C17)</f>
        <v>0.43333333333333335</v>
      </c>
      <c r="G17" s="14"/>
    </row>
    <row r="18" spans="1:7" x14ac:dyDescent="0.3">
      <c r="A18" s="8" t="s">
        <v>5</v>
      </c>
      <c r="B18" s="10" t="s">
        <v>16</v>
      </c>
      <c r="C18" s="11">
        <v>220</v>
      </c>
      <c r="D18" s="12">
        <f>SUMIFS('Item Cost Detail'!$D:$D,'Item Cost Detail'!$A:$A,$A18,'Item Cost Detail'!$B:$B,$B18)</f>
        <v>130</v>
      </c>
      <c r="E18" s="12">
        <f>C18-D18</f>
        <v>90</v>
      </c>
      <c r="F18" s="13">
        <f>IF(C18=0,0,E18/C18)</f>
        <v>0.40909090909090912</v>
      </c>
      <c r="G18" s="14"/>
    </row>
    <row r="19" spans="1:7" x14ac:dyDescent="0.3">
      <c r="A19" s="8" t="s">
        <v>5</v>
      </c>
      <c r="B19" s="10" t="s">
        <v>17</v>
      </c>
      <c r="C19" s="11">
        <v>320</v>
      </c>
      <c r="D19" s="12">
        <f>SUMIFS('Item Cost Detail'!$D:$D,'Item Cost Detail'!$A:$A,$A19,'Item Cost Detail'!$B:$B,$B19)</f>
        <v>190</v>
      </c>
      <c r="E19" s="12">
        <f>C19-D19</f>
        <v>130</v>
      </c>
      <c r="F19" s="13">
        <f>IF(C19=0,0,E19/C19)</f>
        <v>0.40625</v>
      </c>
      <c r="G19" s="14" t="s">
        <v>189</v>
      </c>
    </row>
    <row r="20" spans="1:7" ht="15" customHeight="1" x14ac:dyDescent="0.3">
      <c r="A20" s="24" t="s">
        <v>6</v>
      </c>
      <c r="B20" s="24"/>
      <c r="C20" s="24"/>
      <c r="D20" s="24"/>
      <c r="E20" s="24"/>
      <c r="F20" s="24"/>
      <c r="G20" s="24"/>
    </row>
    <row r="21" spans="1:7" ht="27.6" x14ac:dyDescent="0.3">
      <c r="A21" s="8" t="s">
        <v>6</v>
      </c>
      <c r="B21" s="10" t="s">
        <v>141</v>
      </c>
      <c r="C21" s="11">
        <v>80</v>
      </c>
      <c r="D21" s="12">
        <f>SUMIFS('Item Cost Detail'!$D:$D,'Item Cost Detail'!$A:$A,$A21,'Item Cost Detail'!$B:$B,$B21)</f>
        <v>45</v>
      </c>
      <c r="E21" s="12">
        <f>C21-D21</f>
        <v>35</v>
      </c>
      <c r="F21" s="13">
        <f>IF(C21=0,0,E21/C21)</f>
        <v>0.4375</v>
      </c>
      <c r="G21" s="14" t="s">
        <v>190</v>
      </c>
    </row>
    <row r="22" spans="1:7" x14ac:dyDescent="0.3">
      <c r="A22" s="8" t="s">
        <v>6</v>
      </c>
      <c r="B22" s="10" t="s">
        <v>19</v>
      </c>
      <c r="C22" s="11">
        <v>220</v>
      </c>
      <c r="D22" s="12">
        <f>SUMIFS('Item Cost Detail'!$D:$D,'Item Cost Detail'!$A:$A,$A22,'Item Cost Detail'!$B:$B,$B22)</f>
        <v>130</v>
      </c>
      <c r="E22" s="12">
        <f>C22-D22</f>
        <v>90</v>
      </c>
      <c r="F22" s="13">
        <f>IF(C22=0,0,E22/C22)</f>
        <v>0.40909090909090912</v>
      </c>
      <c r="G22" s="14"/>
    </row>
    <row r="23" spans="1:7" x14ac:dyDescent="0.3">
      <c r="A23" s="8" t="s">
        <v>6</v>
      </c>
      <c r="B23" s="10" t="s">
        <v>20</v>
      </c>
      <c r="C23" s="11">
        <v>380</v>
      </c>
      <c r="D23" s="12">
        <f>SUMIFS('Item Cost Detail'!$D:$D,'Item Cost Detail'!$A:$A,$A23,'Item Cost Detail'!$B:$B,$B23)</f>
        <v>220</v>
      </c>
      <c r="E23" s="12">
        <f>C23-D23</f>
        <v>160</v>
      </c>
      <c r="F23" s="13">
        <f>IF(C23=0,0,E23/C23)</f>
        <v>0.42105263157894735</v>
      </c>
      <c r="G23" s="14" t="s">
        <v>191</v>
      </c>
    </row>
    <row r="24" spans="1:7" x14ac:dyDescent="0.3">
      <c r="A24" s="8" t="s">
        <v>6</v>
      </c>
      <c r="B24" s="10" t="s">
        <v>21</v>
      </c>
      <c r="C24" s="11">
        <v>550</v>
      </c>
      <c r="D24" s="12">
        <f>SUMIFS('Item Cost Detail'!$D:$D,'Item Cost Detail'!$A:$A,$A24,'Item Cost Detail'!$B:$B,$B24)</f>
        <v>320</v>
      </c>
      <c r="E24" s="12">
        <f>C24-D24</f>
        <v>230</v>
      </c>
      <c r="F24" s="13">
        <f>IF(C24=0,0,E24/C24)</f>
        <v>0.41818181818181815</v>
      </c>
      <c r="G24" s="14" t="s">
        <v>192</v>
      </c>
    </row>
    <row r="25" spans="1:7" ht="15" customHeight="1" x14ac:dyDescent="0.3">
      <c r="A25" s="24" t="s">
        <v>7</v>
      </c>
      <c r="B25" s="24"/>
      <c r="C25" s="24"/>
      <c r="D25" s="24"/>
      <c r="E25" s="24"/>
      <c r="F25" s="24"/>
      <c r="G25" s="24"/>
    </row>
    <row r="26" spans="1:7" x14ac:dyDescent="0.3">
      <c r="A26" s="8" t="s">
        <v>7</v>
      </c>
      <c r="B26" s="10" t="s">
        <v>22</v>
      </c>
      <c r="C26" s="11">
        <v>200</v>
      </c>
      <c r="D26" s="12">
        <f>SUMIFS('Item Cost Detail'!$D:$D,'Item Cost Detail'!$A:$A,$A26,'Item Cost Detail'!$B:$B,$B26)</f>
        <v>115</v>
      </c>
      <c r="E26" s="12">
        <f>C26-D26</f>
        <v>85</v>
      </c>
      <c r="F26" s="13">
        <f>IF(C26=0,0,E26/C26)</f>
        <v>0.42499999999999999</v>
      </c>
      <c r="G26" s="14"/>
    </row>
    <row r="27" spans="1:7" x14ac:dyDescent="0.3">
      <c r="A27" s="8" t="s">
        <v>7</v>
      </c>
      <c r="B27" s="10" t="s">
        <v>23</v>
      </c>
      <c r="C27" s="11">
        <v>420</v>
      </c>
      <c r="D27" s="12">
        <f>SUMIFS('Item Cost Detail'!$D:$D,'Item Cost Detail'!$A:$A,$A27,'Item Cost Detail'!$B:$B,$B27)</f>
        <v>245</v>
      </c>
      <c r="E27" s="12">
        <f>C27-D27</f>
        <v>175</v>
      </c>
      <c r="F27" s="13">
        <f>IF(C27=0,0,E27/C27)</f>
        <v>0.41666666666666669</v>
      </c>
      <c r="G27" s="14"/>
    </row>
    <row r="28" spans="1:7" ht="24" x14ac:dyDescent="0.3">
      <c r="A28" s="8" t="s">
        <v>7</v>
      </c>
      <c r="B28" s="10" t="s">
        <v>24</v>
      </c>
      <c r="C28" s="11">
        <v>650</v>
      </c>
      <c r="D28" s="12">
        <f>SUMIFS('Item Cost Detail'!$D:$D,'Item Cost Detail'!$A:$A,$A28,'Item Cost Detail'!$B:$B,$B28)</f>
        <v>380</v>
      </c>
      <c r="E28" s="12">
        <f>C28-D28</f>
        <v>270</v>
      </c>
      <c r="F28" s="13">
        <f>IF(C28=0,0,E28/C28)</f>
        <v>0.41538461538461541</v>
      </c>
      <c r="G28" s="14" t="s">
        <v>193</v>
      </c>
    </row>
    <row r="30" spans="1:7" x14ac:dyDescent="0.3">
      <c r="A30" s="15"/>
      <c r="B30" s="5" t="s">
        <v>194</v>
      </c>
      <c r="C30" s="16">
        <f>AVERAGE(C5,C6,C7,C9,C10,C11,C13,C14,C15,C17,C18,C19,C21,C22,C23,C24,C26,C27,C28)</f>
        <v>319.4736842105263</v>
      </c>
      <c r="D30" s="16">
        <f>AVERAGE(D5,D6,D7,D9,D10,D11,D13,D14,D15,D17,D18,D19,D21,D22,D23,D24,D26,D27,D28)</f>
        <v>186.84210526315789</v>
      </c>
      <c r="E30" s="16">
        <f>AVERAGE(E5,E6,E7,E9,E10,E11,E13,E14,E15,E17,E18,E19,E21,E22,E23,E24,E26,E27,E28)</f>
        <v>132.63157894736841</v>
      </c>
      <c r="F30" s="17">
        <f>AVERAGE(F5,F6,F7,F9,F10,F11,F13,F14,F15,F17,F18,F19,F21,F22,F23,F24,F26,F27,F28)</f>
        <v>0.41687189657064999</v>
      </c>
      <c r="G30" s="1" t="s">
        <v>195</v>
      </c>
    </row>
    <row r="32" spans="1:7" x14ac:dyDescent="0.3">
      <c r="A32" s="23" t="s">
        <v>196</v>
      </c>
      <c r="B32" s="23"/>
      <c r="C32" s="23"/>
      <c r="D32" s="23"/>
      <c r="E32" s="23"/>
      <c r="F32" s="23"/>
      <c r="G32" s="23"/>
    </row>
  </sheetData>
  <mergeCells count="8">
    <mergeCell ref="A20:G20"/>
    <mergeCell ref="A25:G25"/>
    <mergeCell ref="A32:G32"/>
    <mergeCell ref="A1:G1"/>
    <mergeCell ref="A4:G4"/>
    <mergeCell ref="A8:G8"/>
    <mergeCell ref="A12:G12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1F55-33ED-4C15-92E2-1216C15F80D0}">
  <dimension ref="A1:F42"/>
  <sheetViews>
    <sheetView topLeftCell="A5" workbookViewId="0">
      <selection activeCell="B5" sqref="B5"/>
    </sheetView>
  </sheetViews>
  <sheetFormatPr defaultColWidth="89.109375" defaultRowHeight="14.4" x14ac:dyDescent="0.3"/>
  <cols>
    <col min="1" max="1" width="27.77734375" bestFit="1" customWidth="1"/>
    <col min="2" max="2" width="88.33203125" bestFit="1" customWidth="1"/>
    <col min="3" max="3" width="6.6640625" bestFit="1" customWidth="1"/>
    <col min="4" max="4" width="6.44140625" bestFit="1" customWidth="1"/>
    <col min="5" max="5" width="6.21875" bestFit="1" customWidth="1"/>
    <col min="6" max="6" width="8.109375" bestFit="1" customWidth="1"/>
  </cols>
  <sheetData>
    <row r="1" spans="1:6" ht="18" x14ac:dyDescent="0.3">
      <c r="A1" s="18" t="s">
        <v>2</v>
      </c>
    </row>
    <row r="3" spans="1:6" ht="28.8" x14ac:dyDescent="0.3">
      <c r="A3" s="19" t="s">
        <v>44</v>
      </c>
      <c r="B3" s="19" t="s">
        <v>45</v>
      </c>
      <c r="C3" s="19" t="s">
        <v>46</v>
      </c>
      <c r="D3" s="19" t="s">
        <v>47</v>
      </c>
      <c r="E3" s="19" t="s">
        <v>48</v>
      </c>
      <c r="F3" s="19" t="s">
        <v>49</v>
      </c>
    </row>
    <row r="4" spans="1:6" ht="28.8" x14ac:dyDescent="0.3">
      <c r="A4" s="20" t="s">
        <v>8</v>
      </c>
      <c r="B4" s="20" t="s">
        <v>25</v>
      </c>
      <c r="C4" s="20" t="s">
        <v>50</v>
      </c>
      <c r="D4" s="20" t="s">
        <v>51</v>
      </c>
      <c r="E4" s="20" t="s">
        <v>52</v>
      </c>
      <c r="F4" s="21">
        <v>0.42</v>
      </c>
    </row>
    <row r="5" spans="1:6" ht="28.8" x14ac:dyDescent="0.3">
      <c r="A5" s="20" t="s">
        <v>9</v>
      </c>
      <c r="B5" s="20" t="s">
        <v>26</v>
      </c>
      <c r="C5" s="20" t="s">
        <v>53</v>
      </c>
      <c r="D5" s="20" t="s">
        <v>54</v>
      </c>
      <c r="E5" s="20" t="s">
        <v>55</v>
      </c>
      <c r="F5" s="21">
        <v>0.42</v>
      </c>
    </row>
    <row r="6" spans="1:6" ht="28.8" x14ac:dyDescent="0.3">
      <c r="A6" s="20" t="s">
        <v>10</v>
      </c>
      <c r="B6" s="20" t="s">
        <v>27</v>
      </c>
      <c r="C6" s="20" t="s">
        <v>56</v>
      </c>
      <c r="D6" s="20" t="s">
        <v>57</v>
      </c>
      <c r="E6" s="20" t="s">
        <v>54</v>
      </c>
      <c r="F6" s="21">
        <v>0.42</v>
      </c>
    </row>
    <row r="8" spans="1:6" ht="18" x14ac:dyDescent="0.3">
      <c r="A8" s="18" t="s">
        <v>3</v>
      </c>
    </row>
    <row r="10" spans="1:6" ht="28.8" x14ac:dyDescent="0.3">
      <c r="A10" s="19" t="s">
        <v>44</v>
      </c>
      <c r="B10" s="19" t="s">
        <v>45</v>
      </c>
      <c r="C10" s="19" t="s">
        <v>46</v>
      </c>
      <c r="D10" s="19" t="s">
        <v>47</v>
      </c>
      <c r="E10" s="19" t="s">
        <v>48</v>
      </c>
      <c r="F10" s="19" t="s">
        <v>49</v>
      </c>
    </row>
    <row r="11" spans="1:6" ht="28.8" x14ac:dyDescent="0.3">
      <c r="A11" s="20" t="s">
        <v>11</v>
      </c>
      <c r="B11" s="20" t="s">
        <v>28</v>
      </c>
      <c r="C11" s="20" t="s">
        <v>56</v>
      </c>
      <c r="D11" s="20" t="s">
        <v>57</v>
      </c>
      <c r="E11" s="20" t="s">
        <v>54</v>
      </c>
      <c r="F11" s="21">
        <v>0.42</v>
      </c>
    </row>
    <row r="12" spans="1:6" ht="28.8" x14ac:dyDescent="0.3">
      <c r="A12" s="20" t="s">
        <v>12</v>
      </c>
      <c r="B12" s="20" t="s">
        <v>29</v>
      </c>
      <c r="C12" s="20" t="s">
        <v>58</v>
      </c>
      <c r="D12" s="20" t="s">
        <v>59</v>
      </c>
      <c r="E12" s="20" t="s">
        <v>57</v>
      </c>
      <c r="F12" s="21">
        <v>0.41</v>
      </c>
    </row>
    <row r="13" spans="1:6" ht="28.8" x14ac:dyDescent="0.3">
      <c r="A13" s="20" t="s">
        <v>13</v>
      </c>
      <c r="B13" s="20" t="s">
        <v>30</v>
      </c>
      <c r="C13" s="20" t="s">
        <v>60</v>
      </c>
      <c r="D13" s="20" t="s">
        <v>61</v>
      </c>
      <c r="E13" s="20" t="s">
        <v>62</v>
      </c>
      <c r="F13" s="21">
        <v>0.4</v>
      </c>
    </row>
    <row r="15" spans="1:6" ht="18" x14ac:dyDescent="0.3">
      <c r="A15" s="18" t="s">
        <v>4</v>
      </c>
    </row>
    <row r="17" spans="1:6" ht="28.8" x14ac:dyDescent="0.3">
      <c r="A17" s="19" t="s">
        <v>44</v>
      </c>
      <c r="B17" s="19" t="s">
        <v>45</v>
      </c>
      <c r="C17" s="19" t="s">
        <v>46</v>
      </c>
      <c r="D17" s="19" t="s">
        <v>47</v>
      </c>
      <c r="E17" s="19" t="s">
        <v>48</v>
      </c>
      <c r="F17" s="19" t="s">
        <v>49</v>
      </c>
    </row>
    <row r="18" spans="1:6" x14ac:dyDescent="0.3">
      <c r="A18" s="20" t="s">
        <v>11</v>
      </c>
      <c r="B18" s="20" t="s">
        <v>31</v>
      </c>
      <c r="C18" s="20" t="s">
        <v>63</v>
      </c>
      <c r="D18" s="20" t="s">
        <v>64</v>
      </c>
      <c r="E18" s="20" t="s">
        <v>65</v>
      </c>
      <c r="F18" s="21">
        <v>0.41</v>
      </c>
    </row>
    <row r="19" spans="1:6" ht="28.8" x14ac:dyDescent="0.3">
      <c r="A19" s="20" t="s">
        <v>12</v>
      </c>
      <c r="B19" s="20" t="s">
        <v>32</v>
      </c>
      <c r="C19" s="20" t="s">
        <v>66</v>
      </c>
      <c r="D19" s="20" t="s">
        <v>67</v>
      </c>
      <c r="E19" s="20" t="s">
        <v>64</v>
      </c>
      <c r="F19" s="21">
        <v>0.41</v>
      </c>
    </row>
    <row r="20" spans="1:6" ht="28.8" x14ac:dyDescent="0.3">
      <c r="A20" s="20" t="s">
        <v>14</v>
      </c>
      <c r="B20" s="20" t="s">
        <v>33</v>
      </c>
      <c r="C20" s="20" t="s">
        <v>68</v>
      </c>
      <c r="D20" s="20" t="s">
        <v>69</v>
      </c>
      <c r="E20" s="20" t="s">
        <v>70</v>
      </c>
      <c r="F20" s="21">
        <v>0.42</v>
      </c>
    </row>
    <row r="22" spans="1:6" ht="18" x14ac:dyDescent="0.3">
      <c r="A22" s="18" t="s">
        <v>5</v>
      </c>
    </row>
    <row r="24" spans="1:6" ht="28.8" x14ac:dyDescent="0.3">
      <c r="A24" s="19" t="s">
        <v>44</v>
      </c>
      <c r="B24" s="19" t="s">
        <v>45</v>
      </c>
      <c r="C24" s="19" t="s">
        <v>46</v>
      </c>
      <c r="D24" s="19" t="s">
        <v>47</v>
      </c>
      <c r="E24" s="19" t="s">
        <v>48</v>
      </c>
      <c r="F24" s="19" t="s">
        <v>49</v>
      </c>
    </row>
    <row r="25" spans="1:6" ht="28.8" x14ac:dyDescent="0.3">
      <c r="A25" s="20" t="s">
        <v>15</v>
      </c>
      <c r="B25" s="20" t="s">
        <v>34</v>
      </c>
      <c r="C25" s="20" t="s">
        <v>71</v>
      </c>
      <c r="D25" s="20" t="s">
        <v>72</v>
      </c>
      <c r="E25" s="20" t="s">
        <v>73</v>
      </c>
      <c r="F25" s="21">
        <v>0.43</v>
      </c>
    </row>
    <row r="26" spans="1:6" x14ac:dyDescent="0.3">
      <c r="A26" s="20" t="s">
        <v>16</v>
      </c>
      <c r="B26" s="20" t="s">
        <v>35</v>
      </c>
      <c r="C26" s="20" t="s">
        <v>74</v>
      </c>
      <c r="D26" s="20" t="s">
        <v>75</v>
      </c>
      <c r="E26" s="20" t="s">
        <v>76</v>
      </c>
      <c r="F26" s="21">
        <v>0.41</v>
      </c>
    </row>
    <row r="27" spans="1:6" ht="28.8" x14ac:dyDescent="0.3">
      <c r="A27" s="20" t="s">
        <v>17</v>
      </c>
      <c r="B27" s="20" t="s">
        <v>36</v>
      </c>
      <c r="C27" s="20" t="s">
        <v>69</v>
      </c>
      <c r="D27" s="20" t="s">
        <v>77</v>
      </c>
      <c r="E27" s="20" t="s">
        <v>75</v>
      </c>
      <c r="F27" s="21">
        <v>0.41</v>
      </c>
    </row>
    <row r="29" spans="1:6" ht="18" x14ac:dyDescent="0.3">
      <c r="A29" s="18" t="s">
        <v>6</v>
      </c>
    </row>
    <row r="31" spans="1:6" ht="28.8" x14ac:dyDescent="0.3">
      <c r="A31" s="19" t="s">
        <v>44</v>
      </c>
      <c r="B31" s="19" t="s">
        <v>45</v>
      </c>
      <c r="C31" s="19" t="s">
        <v>46</v>
      </c>
      <c r="D31" s="19" t="s">
        <v>47</v>
      </c>
      <c r="E31" s="19" t="s">
        <v>48</v>
      </c>
      <c r="F31" s="19" t="s">
        <v>49</v>
      </c>
    </row>
    <row r="32" spans="1:6" ht="28.8" x14ac:dyDescent="0.3">
      <c r="A32" s="20" t="s">
        <v>18</v>
      </c>
      <c r="B32" s="20" t="s">
        <v>37</v>
      </c>
      <c r="C32" s="20" t="s">
        <v>78</v>
      </c>
      <c r="D32" s="20" t="s">
        <v>79</v>
      </c>
      <c r="E32" s="20" t="s">
        <v>80</v>
      </c>
      <c r="F32" s="21">
        <v>0.44</v>
      </c>
    </row>
    <row r="33" spans="1:6" x14ac:dyDescent="0.3">
      <c r="A33" s="20" t="s">
        <v>19</v>
      </c>
      <c r="B33" s="20" t="s">
        <v>38</v>
      </c>
      <c r="C33" s="20" t="s">
        <v>74</v>
      </c>
      <c r="D33" s="20" t="s">
        <v>75</v>
      </c>
      <c r="E33" s="20" t="s">
        <v>76</v>
      </c>
      <c r="F33" s="21">
        <v>0.41</v>
      </c>
    </row>
    <row r="34" spans="1:6" ht="28.8" x14ac:dyDescent="0.3">
      <c r="A34" s="20" t="s">
        <v>20</v>
      </c>
      <c r="B34" s="20" t="s">
        <v>39</v>
      </c>
      <c r="C34" s="20" t="s">
        <v>81</v>
      </c>
      <c r="D34" s="20" t="s">
        <v>74</v>
      </c>
      <c r="E34" s="20" t="s">
        <v>82</v>
      </c>
      <c r="F34" s="21">
        <v>0.42</v>
      </c>
    </row>
    <row r="35" spans="1:6" ht="28.8" x14ac:dyDescent="0.3">
      <c r="A35" s="20" t="s">
        <v>21</v>
      </c>
      <c r="B35" s="20" t="s">
        <v>40</v>
      </c>
      <c r="C35" s="20" t="s">
        <v>68</v>
      </c>
      <c r="D35" s="20" t="s">
        <v>69</v>
      </c>
      <c r="E35" s="20" t="s">
        <v>70</v>
      </c>
      <c r="F35" s="21">
        <v>0.42</v>
      </c>
    </row>
    <row r="37" spans="1:6" ht="18" x14ac:dyDescent="0.3">
      <c r="A37" s="18" t="s">
        <v>7</v>
      </c>
    </row>
    <row r="39" spans="1:6" ht="28.8" x14ac:dyDescent="0.3">
      <c r="A39" s="19" t="s">
        <v>44</v>
      </c>
      <c r="B39" s="19" t="s">
        <v>45</v>
      </c>
      <c r="C39" s="19" t="s">
        <v>46</v>
      </c>
      <c r="D39" s="19" t="s">
        <v>47</v>
      </c>
      <c r="E39" s="19" t="s">
        <v>48</v>
      </c>
      <c r="F39" s="19" t="s">
        <v>49</v>
      </c>
    </row>
    <row r="40" spans="1:6" ht="28.8" x14ac:dyDescent="0.3">
      <c r="A40" s="20" t="s">
        <v>22</v>
      </c>
      <c r="B40" s="20" t="s">
        <v>41</v>
      </c>
      <c r="C40" s="20" t="s">
        <v>62</v>
      </c>
      <c r="D40" s="20" t="s">
        <v>65</v>
      </c>
      <c r="E40" s="20" t="s">
        <v>72</v>
      </c>
      <c r="F40" s="21">
        <v>0.43</v>
      </c>
    </row>
    <row r="41" spans="1:6" ht="28.8" x14ac:dyDescent="0.3">
      <c r="A41" s="20" t="s">
        <v>23</v>
      </c>
      <c r="B41" s="20" t="s">
        <v>42</v>
      </c>
      <c r="C41" s="20" t="s">
        <v>83</v>
      </c>
      <c r="D41" s="20" t="s">
        <v>84</v>
      </c>
      <c r="E41" s="20" t="s">
        <v>85</v>
      </c>
      <c r="F41" s="21">
        <v>0.42</v>
      </c>
    </row>
    <row r="42" spans="1:6" ht="28.8" x14ac:dyDescent="0.3">
      <c r="A42" s="20" t="s">
        <v>24</v>
      </c>
      <c r="B42" s="20" t="s">
        <v>43</v>
      </c>
      <c r="C42" s="20" t="s">
        <v>86</v>
      </c>
      <c r="D42" s="20" t="s">
        <v>81</v>
      </c>
      <c r="E42" s="20" t="s">
        <v>87</v>
      </c>
      <c r="F42" s="21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Item Cost Detail</vt:lpstr>
      <vt:lpstr>Package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2026-09-17T11:41:51Z</dcterms:created>
  <dcterms:modified xsi:type="dcterms:W3CDTF">2026-09-28T19:16:34Z</dcterms:modified>
  <dc:language>en-US</dc:language>
</cp:coreProperties>
</file>